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orms and documents\"/>
    </mc:Choice>
  </mc:AlternateContent>
  <bookViews>
    <workbookView xWindow="0" yWindow="0" windowWidth="7480" windowHeight="6350" tabRatio="741"/>
  </bookViews>
  <sheets>
    <sheet name="Functional Dimension" sheetId="1" r:id="rId1"/>
    <sheet name="Organizational Dimension" sheetId="3" r:id="rId2"/>
    <sheet name="Self Development" sheetId="5" r:id="rId3"/>
    <sheet name="Developing Others" sheetId="6" r:id="rId4"/>
    <sheet name="Score" sheetId="4" r:id="rId5"/>
    <sheet name="Score Sheet" sheetId="7" state="hidden" r:id="rId6"/>
  </sheets>
  <definedNames>
    <definedName name="_xlnm.Print_Area" localSheetId="3">'Developing Others'!$A$1:$N$18</definedName>
    <definedName name="_xlnm.Print_Area" localSheetId="0">'Functional Dimension'!$A$1:$T$28</definedName>
    <definedName name="_xlnm.Print_Area" localSheetId="1">'Organizational Dimension'!$B$1:$Y$22</definedName>
    <definedName name="_xlnm.Print_Area" localSheetId="2">'Self Development'!$A$1:$N$13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6" l="1"/>
  <c r="D18" i="6"/>
  <c r="F13" i="5"/>
  <c r="D13" i="5"/>
  <c r="Q14" i="3"/>
  <c r="M14" i="3"/>
  <c r="I14" i="3"/>
  <c r="E14" i="3"/>
  <c r="I27" i="1"/>
  <c r="F27" i="1"/>
  <c r="M3" i="1" l="1"/>
  <c r="M4" i="1"/>
  <c r="M5" i="1"/>
  <c r="M6" i="1"/>
  <c r="M7" i="1"/>
  <c r="M2" i="1"/>
  <c r="T14" i="1"/>
  <c r="Y4" i="3" l="1"/>
  <c r="N2" i="1" s="1"/>
  <c r="Q13" i="1"/>
  <c r="N13" i="1"/>
  <c r="K13" i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4" i="6"/>
  <c r="O27" i="1"/>
  <c r="R27" i="1"/>
  <c r="H13" i="1"/>
  <c r="T19" i="1"/>
  <c r="R28" i="1" l="1"/>
  <c r="L27" i="1"/>
  <c r="T15" i="1" l="1"/>
  <c r="T16" i="1"/>
  <c r="T17" i="1"/>
  <c r="E13" i="1" l="1"/>
  <c r="L13" i="7" s="1"/>
  <c r="E3" i="4"/>
  <c r="M25" i="7"/>
  <c r="M26" i="7" s="1"/>
  <c r="E4" i="4"/>
  <c r="E5" i="4"/>
  <c r="P53" i="7"/>
  <c r="E6" i="4"/>
  <c r="P67" i="7"/>
  <c r="G6" i="4"/>
  <c r="L18" i="6"/>
  <c r="J18" i="6"/>
  <c r="S67" i="7" s="1"/>
  <c r="H18" i="6"/>
  <c r="R67" i="7" s="1"/>
  <c r="Q67" i="7"/>
  <c r="L13" i="5"/>
  <c r="J13" i="5"/>
  <c r="S53" i="7" s="1"/>
  <c r="H13" i="5"/>
  <c r="R53" i="7" s="1"/>
  <c r="Q53" i="7"/>
  <c r="U14" i="3"/>
  <c r="S40" i="7"/>
  <c r="R40" i="7"/>
  <c r="Q40" i="7"/>
  <c r="G3" i="4"/>
  <c r="G4" i="4"/>
  <c r="G5" i="4"/>
  <c r="I28" i="1"/>
  <c r="O26" i="7" s="1"/>
  <c r="I3" i="4"/>
  <c r="L28" i="1"/>
  <c r="Q26" i="7" s="1"/>
  <c r="I4" i="4"/>
  <c r="J4" i="4" s="1"/>
  <c r="I5" i="4"/>
  <c r="I6" i="4"/>
  <c r="M3" i="4"/>
  <c r="N3" i="4" s="1"/>
  <c r="M4" i="4"/>
  <c r="M5" i="4"/>
  <c r="M6" i="4"/>
  <c r="N6" i="4" s="1"/>
  <c r="K3" i="4"/>
  <c r="S25" i="7"/>
  <c r="K4" i="4"/>
  <c r="K5" i="4"/>
  <c r="K6" i="4"/>
  <c r="T66" i="7"/>
  <c r="T65" i="7"/>
  <c r="T64" i="7"/>
  <c r="T63" i="7"/>
  <c r="T62" i="7"/>
  <c r="T61" i="7"/>
  <c r="T60" i="7"/>
  <c r="T59" i="7"/>
  <c r="N12" i="5"/>
  <c r="T52" i="7" s="1"/>
  <c r="N11" i="5"/>
  <c r="T51" i="7" s="1"/>
  <c r="N10" i="5"/>
  <c r="N9" i="5"/>
  <c r="T49" i="7" s="1"/>
  <c r="N8" i="5"/>
  <c r="T48" i="7" s="1"/>
  <c r="N7" i="5"/>
  <c r="T47" i="7" s="1"/>
  <c r="N6" i="5"/>
  <c r="T46" i="7" s="1"/>
  <c r="N5" i="5"/>
  <c r="T45" i="7" s="1"/>
  <c r="N4" i="5"/>
  <c r="T44" i="7" s="1"/>
  <c r="Y13" i="3"/>
  <c r="T39" i="7" s="1"/>
  <c r="Y12" i="3"/>
  <c r="Y11" i="3"/>
  <c r="T37" i="7" s="1"/>
  <c r="Y10" i="3"/>
  <c r="T36" i="7" s="1"/>
  <c r="Y9" i="3"/>
  <c r="Y8" i="3"/>
  <c r="Y7" i="3"/>
  <c r="Y6" i="3"/>
  <c r="Y5" i="3"/>
  <c r="T30" i="7"/>
  <c r="T25" i="1"/>
  <c r="T24" i="1"/>
  <c r="T23" i="1"/>
  <c r="T22" i="1"/>
  <c r="T21" i="1"/>
  <c r="T20" i="1"/>
  <c r="T26" i="1"/>
  <c r="T18" i="1"/>
  <c r="A59" i="7"/>
  <c r="A60" i="7"/>
  <c r="A61" i="7"/>
  <c r="A62" i="7"/>
  <c r="A63" i="7"/>
  <c r="A64" i="7"/>
  <c r="A65" i="7"/>
  <c r="A66" i="7"/>
  <c r="A58" i="7"/>
  <c r="G4" i="7"/>
  <c r="G6" i="7"/>
  <c r="G7" i="7"/>
  <c r="G9" i="7"/>
  <c r="A3" i="7"/>
  <c r="A2" i="7"/>
  <c r="P14" i="7"/>
  <c r="T58" i="7"/>
  <c r="G15" i="7"/>
  <c r="G16" i="7"/>
  <c r="G17" i="7"/>
  <c r="G18" i="7"/>
  <c r="G19" i="7"/>
  <c r="G20" i="7"/>
  <c r="G21" i="7"/>
  <c r="G22" i="7"/>
  <c r="G23" i="7"/>
  <c r="G24" i="7"/>
  <c r="G14" i="7"/>
  <c r="A15" i="7"/>
  <c r="A16" i="7"/>
  <c r="A17" i="7"/>
  <c r="A18" i="7"/>
  <c r="A19" i="7"/>
  <c r="A20" i="7"/>
  <c r="A21" i="7"/>
  <c r="A22" i="7"/>
  <c r="A23" i="7"/>
  <c r="A24" i="7"/>
  <c r="A14" i="7"/>
  <c r="A1" i="7"/>
  <c r="S58" i="7"/>
  <c r="S59" i="7"/>
  <c r="S60" i="7"/>
  <c r="S61" i="7"/>
  <c r="S62" i="7"/>
  <c r="S63" i="7"/>
  <c r="S64" i="7"/>
  <c r="S65" i="7"/>
  <c r="S66" i="7"/>
  <c r="R58" i="7"/>
  <c r="R59" i="7"/>
  <c r="R60" i="7"/>
  <c r="R61" i="7"/>
  <c r="R62" i="7"/>
  <c r="R63" i="7"/>
  <c r="R64" i="7"/>
  <c r="R65" i="7"/>
  <c r="R66" i="7"/>
  <c r="Q58" i="7"/>
  <c r="Q59" i="7"/>
  <c r="Q60" i="7"/>
  <c r="Q61" i="7"/>
  <c r="Q62" i="7"/>
  <c r="Q63" i="7"/>
  <c r="Q64" i="7"/>
  <c r="Q65" i="7"/>
  <c r="Q66" i="7"/>
  <c r="P58" i="7"/>
  <c r="P59" i="7"/>
  <c r="P60" i="7"/>
  <c r="P61" i="7"/>
  <c r="P62" i="7"/>
  <c r="P63" i="7"/>
  <c r="P64" i="7"/>
  <c r="P65" i="7"/>
  <c r="P66" i="7"/>
  <c r="P44" i="7"/>
  <c r="Q44" i="7"/>
  <c r="R44" i="7"/>
  <c r="S44" i="7"/>
  <c r="P45" i="7"/>
  <c r="Q45" i="7"/>
  <c r="R45" i="7"/>
  <c r="S45" i="7"/>
  <c r="P46" i="7"/>
  <c r="Q46" i="7"/>
  <c r="R46" i="7"/>
  <c r="S46" i="7"/>
  <c r="P47" i="7"/>
  <c r="Q47" i="7"/>
  <c r="R47" i="7"/>
  <c r="S47" i="7"/>
  <c r="P48" i="7"/>
  <c r="Q48" i="7"/>
  <c r="R48" i="7"/>
  <c r="S48" i="7"/>
  <c r="P49" i="7"/>
  <c r="Q49" i="7"/>
  <c r="R49" i="7"/>
  <c r="S49" i="7"/>
  <c r="P50" i="7"/>
  <c r="Q50" i="7"/>
  <c r="R50" i="7"/>
  <c r="S50" i="7"/>
  <c r="T50" i="7"/>
  <c r="P51" i="7"/>
  <c r="Q51" i="7"/>
  <c r="R51" i="7"/>
  <c r="S51" i="7"/>
  <c r="P52" i="7"/>
  <c r="Q52" i="7"/>
  <c r="R52" i="7"/>
  <c r="S52" i="7"/>
  <c r="A45" i="7"/>
  <c r="A46" i="7"/>
  <c r="A47" i="7"/>
  <c r="A48" i="7"/>
  <c r="A49" i="7"/>
  <c r="A50" i="7"/>
  <c r="A51" i="7"/>
  <c r="A52" i="7"/>
  <c r="A44" i="7"/>
  <c r="T38" i="7"/>
  <c r="S30" i="7"/>
  <c r="S31" i="7"/>
  <c r="S32" i="7"/>
  <c r="S33" i="7"/>
  <c r="S34" i="7"/>
  <c r="S35" i="7"/>
  <c r="S36" i="7"/>
  <c r="S37" i="7"/>
  <c r="S38" i="7"/>
  <c r="S39" i="7"/>
  <c r="R30" i="7"/>
  <c r="R31" i="7"/>
  <c r="R32" i="7"/>
  <c r="R33" i="7"/>
  <c r="R34" i="7"/>
  <c r="R35" i="7"/>
  <c r="R36" i="7"/>
  <c r="R37" i="7"/>
  <c r="R38" i="7"/>
  <c r="R39" i="7"/>
  <c r="Q30" i="7"/>
  <c r="Q31" i="7"/>
  <c r="Q32" i="7"/>
  <c r="Q33" i="7"/>
  <c r="Q34" i="7"/>
  <c r="Q35" i="7"/>
  <c r="Q36" i="7"/>
  <c r="Q37" i="7"/>
  <c r="Q38" i="7"/>
  <c r="Q39" i="7"/>
  <c r="P30" i="7"/>
  <c r="P31" i="7"/>
  <c r="P32" i="7"/>
  <c r="P33" i="7"/>
  <c r="P34" i="7"/>
  <c r="P35" i="7"/>
  <c r="P36" i="7"/>
  <c r="P37" i="7"/>
  <c r="P38" i="7"/>
  <c r="P39" i="7"/>
  <c r="A31" i="7"/>
  <c r="A32" i="7"/>
  <c r="A33" i="7"/>
  <c r="A34" i="7"/>
  <c r="A35" i="7"/>
  <c r="A36" i="7"/>
  <c r="A37" i="7"/>
  <c r="A38" i="7"/>
  <c r="A39" i="7"/>
  <c r="A30" i="7"/>
  <c r="R14" i="7"/>
  <c r="S14" i="7"/>
  <c r="R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R22" i="7"/>
  <c r="S22" i="7"/>
  <c r="R23" i="7"/>
  <c r="S23" i="7"/>
  <c r="R24" i="7"/>
  <c r="S2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N14" i="7"/>
  <c r="O14" i="7"/>
  <c r="N15" i="7"/>
  <c r="O15" i="7"/>
  <c r="N16" i="7"/>
  <c r="O16" i="7"/>
  <c r="N17" i="7"/>
  <c r="O17" i="7"/>
  <c r="N18" i="7"/>
  <c r="O18" i="7"/>
  <c r="N19" i="7"/>
  <c r="O19" i="7"/>
  <c r="N20" i="7"/>
  <c r="O20" i="7"/>
  <c r="N21" i="7"/>
  <c r="O21" i="7"/>
  <c r="N22" i="7"/>
  <c r="O22" i="7"/>
  <c r="N23" i="7"/>
  <c r="O23" i="7"/>
  <c r="N24" i="7"/>
  <c r="O24" i="7"/>
  <c r="L14" i="7"/>
  <c r="M14" i="7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L22" i="7"/>
  <c r="M22" i="7"/>
  <c r="L23" i="7"/>
  <c r="M23" i="7"/>
  <c r="L24" i="7"/>
  <c r="M24" i="7"/>
  <c r="R13" i="7"/>
  <c r="P13" i="7"/>
  <c r="N13" i="7"/>
  <c r="T40" i="7"/>
  <c r="T53" i="7"/>
  <c r="T67" i="7"/>
  <c r="T35" i="7" l="1"/>
  <c r="N7" i="1"/>
  <c r="T34" i="7"/>
  <c r="N6" i="1"/>
  <c r="T33" i="7"/>
  <c r="N5" i="1"/>
  <c r="T32" i="7"/>
  <c r="N4" i="1"/>
  <c r="T31" i="7"/>
  <c r="N3" i="1"/>
  <c r="F4" i="4"/>
  <c r="P40" i="7"/>
  <c r="E7" i="4"/>
  <c r="N4" i="4"/>
  <c r="N5" i="4"/>
  <c r="H3" i="4"/>
  <c r="L4" i="4"/>
  <c r="L6" i="4"/>
  <c r="J6" i="4"/>
  <c r="H6" i="4"/>
  <c r="J5" i="4"/>
  <c r="J3" i="4"/>
  <c r="I7" i="4"/>
  <c r="H5" i="4"/>
  <c r="G7" i="4"/>
  <c r="O25" i="7"/>
  <c r="F6" i="4"/>
  <c r="K7" i="4"/>
  <c r="F5" i="4"/>
  <c r="L5" i="4"/>
  <c r="Q25" i="7"/>
  <c r="O28" i="1"/>
  <c r="S26" i="7" s="1"/>
  <c r="L3" i="4"/>
  <c r="F3" i="4"/>
  <c r="M7" i="4"/>
  <c r="H4" i="4"/>
  <c r="T25" i="7" l="1"/>
  <c r="O3" i="4"/>
  <c r="N7" i="4"/>
  <c r="J7" i="1" s="1"/>
  <c r="J7" i="4"/>
  <c r="J5" i="1" s="1"/>
  <c r="H7" i="4"/>
  <c r="J4" i="1" s="1"/>
  <c r="L7" i="4"/>
  <c r="J6" i="1" s="1"/>
  <c r="O4" i="4"/>
  <c r="O6" i="4"/>
  <c r="O5" i="4"/>
  <c r="F7" i="4"/>
  <c r="J3" i="1" s="1"/>
  <c r="O7" i="4" l="1"/>
  <c r="C2" i="4" s="1"/>
  <c r="D2" i="4" s="1"/>
</calcChain>
</file>

<file path=xl/sharedStrings.xml><?xml version="1.0" encoding="utf-8"?>
<sst xmlns="http://schemas.openxmlformats.org/spreadsheetml/2006/main" count="163" uniqueCount="75">
  <si>
    <t>Name:</t>
  </si>
  <si>
    <t>Location:</t>
  </si>
  <si>
    <t>Designation:</t>
  </si>
  <si>
    <t>Review 1 Date:</t>
  </si>
  <si>
    <t>Department:</t>
  </si>
  <si>
    <t>Review 2 Date:</t>
  </si>
  <si>
    <t>Reviewed By:</t>
  </si>
  <si>
    <t>Review 3 Date:</t>
  </si>
  <si>
    <t>LCPL Facilitator:</t>
  </si>
  <si>
    <t>Review 4 Date:</t>
  </si>
  <si>
    <t>In the following list please tick the response as per the gradation given, where: 1 = Very Low, 2=Low, 3=Average, 4=High, 5=Very High</t>
  </si>
  <si>
    <t>Functional Dimension: (Weight)</t>
  </si>
  <si>
    <t>KRA</t>
  </si>
  <si>
    <t>KPI (Target)</t>
  </si>
  <si>
    <t>Wt</t>
  </si>
  <si>
    <t>R1</t>
  </si>
  <si>
    <t>R2</t>
  </si>
  <si>
    <t>R3</t>
  </si>
  <si>
    <t>R4</t>
  </si>
  <si>
    <t>Average Score</t>
  </si>
  <si>
    <t>Organizational Dimension: (Weight)</t>
  </si>
  <si>
    <t>Core Values</t>
  </si>
  <si>
    <t>Critical Incident</t>
  </si>
  <si>
    <t>Remarks/Actionables R1:</t>
  </si>
  <si>
    <t>Remarks/Actionables R2:</t>
  </si>
  <si>
    <t>Remarks/Actionables R3:</t>
  </si>
  <si>
    <t>Remarks/Actionables R4:</t>
  </si>
  <si>
    <t>Score</t>
  </si>
  <si>
    <t>Pilot</t>
  </si>
  <si>
    <t>Reports Generated</t>
  </si>
  <si>
    <t>Current Salary:</t>
  </si>
  <si>
    <t>Date of Joining:</t>
  </si>
  <si>
    <t>Avg Score</t>
  </si>
  <si>
    <t>Total</t>
  </si>
  <si>
    <t>Functional</t>
  </si>
  <si>
    <t>Organizational</t>
  </si>
  <si>
    <t>Self Development</t>
  </si>
  <si>
    <t>Developing Others</t>
  </si>
  <si>
    <t>Self Development (Weight)</t>
  </si>
  <si>
    <t>Area of Concern</t>
  </si>
  <si>
    <t>Action Plan/Initiative</t>
  </si>
  <si>
    <t xml:space="preserve"> Score</t>
  </si>
  <si>
    <t>Developing Others (Weight)</t>
  </si>
  <si>
    <t>Person</t>
  </si>
  <si>
    <t>Area of Development</t>
  </si>
  <si>
    <t>DOJ:</t>
  </si>
  <si>
    <t>Reviewed by:</t>
  </si>
  <si>
    <t>Avg</t>
  </si>
  <si>
    <t>KPI</t>
  </si>
  <si>
    <t>Functional Dimension:</t>
  </si>
  <si>
    <t>Organizational Dimension:</t>
  </si>
  <si>
    <t>Self Development:</t>
  </si>
  <si>
    <t xml:space="preserve">Avg </t>
  </si>
  <si>
    <t>Developing Others:</t>
  </si>
  <si>
    <t>Remarks/Actionables Pilot</t>
  </si>
  <si>
    <t>Actual Perf/Comment</t>
  </si>
  <si>
    <t>Jaipur</t>
  </si>
  <si>
    <t>LCPL Facilitator</t>
  </si>
  <si>
    <t>Reason</t>
  </si>
  <si>
    <t>Average</t>
  </si>
  <si>
    <t xml:space="preserve">Location: </t>
  </si>
  <si>
    <t>Weightage
Pilot</t>
  </si>
  <si>
    <t>Weightage R1</t>
  </si>
  <si>
    <t>Weightage R2</t>
  </si>
  <si>
    <t>Weightage R3</t>
  </si>
  <si>
    <t>Weightage R4</t>
  </si>
  <si>
    <t>Client name</t>
  </si>
  <si>
    <t>Final Score</t>
  </si>
  <si>
    <t>KRA Date:</t>
  </si>
  <si>
    <t>Performance Review for</t>
  </si>
  <si>
    <t>4D PMS by :</t>
  </si>
  <si>
    <t>Do Not Edit</t>
  </si>
  <si>
    <t>Don’t forget</t>
  </si>
  <si>
    <t>Editable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</si>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</sst>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4"/>
      <color theme="1"/>
      <name val="Calibri"/>
      <family val="2"/>
    </font>
    <font>
      <sz val="14"/>
      <color rgb="FF7030A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499984740745262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9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0" xfId="0" applyFont="1"/>
    <xf numFmtId="9" fontId="0" fillId="0" borderId="0" xfId="0" applyNumberFormat="1" applyAlignment="1">
      <alignment vertical="center"/>
    </xf>
    <xf numFmtId="1" fontId="0" fillId="0" borderId="10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9" fontId="4" fillId="0" borderId="25" xfId="0" applyNumberFormat="1" applyFont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0" fontId="2" fillId="0" borderId="26" xfId="0" applyFont="1" applyBorder="1"/>
    <xf numFmtId="0" fontId="0" fillId="0" borderId="31" xfId="0" applyBorder="1"/>
    <xf numFmtId="0" fontId="0" fillId="0" borderId="32" xfId="0" applyBorder="1"/>
    <xf numFmtId="9" fontId="0" fillId="0" borderId="32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0" fontId="2" fillId="0" borderId="25" xfId="0" applyFont="1" applyBorder="1"/>
    <xf numFmtId="9" fontId="0" fillId="0" borderId="25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vertical="center"/>
    </xf>
    <xf numFmtId="2" fontId="0" fillId="0" borderId="26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5" fillId="0" borderId="2" xfId="0" applyFont="1" applyBorder="1"/>
    <xf numFmtId="0" fontId="5" fillId="0" borderId="12" xfId="0" applyFont="1" applyBorder="1"/>
    <xf numFmtId="0" fontId="8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165" fontId="9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9" fontId="14" fillId="0" borderId="6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9" fontId="14" fillId="0" borderId="6" xfId="1" applyFont="1" applyFill="1" applyBorder="1" applyAlignment="1">
      <alignment horizontal="center" vertical="center" wrapText="1"/>
    </xf>
    <xf numFmtId="9" fontId="14" fillId="0" borderId="6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center" wrapText="1"/>
    </xf>
    <xf numFmtId="14" fontId="14" fillId="0" borderId="6" xfId="0" applyNumberFormat="1" applyFont="1" applyBorder="1" applyAlignment="1">
      <alignment horizontal="left" vertical="center" wrapText="1"/>
    </xf>
    <xf numFmtId="9" fontId="13" fillId="0" borderId="0" xfId="0" applyNumberFormat="1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wrapText="1"/>
    </xf>
    <xf numFmtId="0" fontId="14" fillId="0" borderId="9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7" fillId="6" borderId="29" xfId="0" applyFont="1" applyFill="1" applyBorder="1" applyAlignment="1">
      <alignment horizontal="left" vertical="center" wrapText="1"/>
    </xf>
    <xf numFmtId="0" fontId="19" fillId="6" borderId="53" xfId="0" applyFont="1" applyFill="1" applyBorder="1" applyAlignment="1">
      <alignment horizontal="left" vertical="center" wrapText="1"/>
    </xf>
    <xf numFmtId="0" fontId="18" fillId="6" borderId="53" xfId="0" applyFont="1" applyFill="1" applyBorder="1" applyAlignment="1">
      <alignment vertical="center" wrapText="1"/>
    </xf>
    <xf numFmtId="0" fontId="18" fillId="6" borderId="55" xfId="0" applyFont="1" applyFill="1" applyBorder="1" applyAlignment="1">
      <alignment vertical="center" wrapText="1"/>
    </xf>
    <xf numFmtId="0" fontId="17" fillId="6" borderId="54" xfId="0" applyFont="1" applyFill="1" applyBorder="1" applyAlignment="1">
      <alignment vertical="center" wrapText="1"/>
    </xf>
    <xf numFmtId="9" fontId="13" fillId="5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23" fillId="7" borderId="6" xfId="0" applyFont="1" applyFill="1" applyBorder="1" applyAlignment="1">
      <alignment horizontal="center" vertical="center" wrapText="1"/>
    </xf>
    <xf numFmtId="0" fontId="17" fillId="6" borderId="40" xfId="0" applyFont="1" applyFill="1" applyBorder="1" applyAlignment="1">
      <alignment horizontal="center" vertical="center" wrapText="1"/>
    </xf>
    <xf numFmtId="2" fontId="17" fillId="6" borderId="59" xfId="0" applyNumberFormat="1" applyFont="1" applyFill="1" applyBorder="1" applyAlignment="1">
      <alignment horizontal="center" vertical="center" wrapText="1"/>
    </xf>
    <xf numFmtId="2" fontId="17" fillId="6" borderId="58" xfId="0" applyNumberFormat="1" applyFont="1" applyFill="1" applyBorder="1" applyAlignment="1">
      <alignment horizontal="center" vertical="center" wrapText="1"/>
    </xf>
    <xf numFmtId="2" fontId="17" fillId="6" borderId="14" xfId="0" applyNumberFormat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9" fontId="3" fillId="5" borderId="40" xfId="1" applyFont="1" applyFill="1" applyBorder="1" applyAlignment="1">
      <alignment horizontal="center" vertical="center"/>
    </xf>
    <xf numFmtId="2" fontId="23" fillId="7" borderId="45" xfId="0" applyNumberFormat="1" applyFont="1" applyFill="1" applyBorder="1" applyAlignment="1">
      <alignment horizontal="center" vertical="center"/>
    </xf>
    <xf numFmtId="2" fontId="23" fillId="7" borderId="46" xfId="0" applyNumberFormat="1" applyFont="1" applyFill="1" applyBorder="1" applyAlignment="1">
      <alignment horizontal="center" vertical="center"/>
    </xf>
    <xf numFmtId="0" fontId="22" fillId="7" borderId="4" xfId="0" applyFont="1" applyFill="1" applyBorder="1"/>
    <xf numFmtId="0" fontId="22" fillId="7" borderId="0" xfId="0" applyFont="1" applyFill="1"/>
    <xf numFmtId="0" fontId="22" fillId="7" borderId="14" xfId="0" applyFont="1" applyFill="1" applyBorder="1" applyAlignment="1">
      <alignment horizontal="center" vertical="center"/>
    </xf>
    <xf numFmtId="0" fontId="22" fillId="7" borderId="0" xfId="0" applyFont="1" applyFill="1" applyAlignment="1">
      <alignment vertical="center"/>
    </xf>
    <xf numFmtId="0" fontId="22" fillId="7" borderId="0" xfId="0" applyFont="1" applyFill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2" fillId="7" borderId="27" xfId="0" applyFont="1" applyFill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22" fillId="7" borderId="40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23" fillId="7" borderId="40" xfId="0" applyFont="1" applyFill="1" applyBorder="1" applyAlignment="1">
      <alignment horizontal="center" vertical="center" wrapText="1"/>
    </xf>
    <xf numFmtId="0" fontId="22" fillId="7" borderId="49" xfId="0" applyFont="1" applyFill="1" applyBorder="1" applyAlignment="1">
      <alignment horizontal="center" vertical="center" wrapText="1"/>
    </xf>
    <xf numFmtId="0" fontId="22" fillId="7" borderId="46" xfId="0" applyFont="1" applyFill="1" applyBorder="1" applyAlignment="1">
      <alignment horizontal="center" vertical="center" wrapText="1"/>
    </xf>
    <xf numFmtId="0" fontId="22" fillId="7" borderId="47" xfId="0" applyFont="1" applyFill="1" applyBorder="1" applyAlignment="1">
      <alignment horizontal="center" vertical="center" wrapText="1"/>
    </xf>
    <xf numFmtId="9" fontId="3" fillId="5" borderId="40" xfId="1" applyFont="1" applyFill="1" applyBorder="1" applyAlignment="1">
      <alignment horizontal="center" vertical="center" wrapText="1"/>
    </xf>
    <xf numFmtId="9" fontId="3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23" fillId="7" borderId="16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2" fillId="7" borderId="16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wrapText="1"/>
    </xf>
    <xf numFmtId="0" fontId="22" fillId="7" borderId="17" xfId="0" applyFont="1" applyFill="1" applyBorder="1" applyAlignment="1">
      <alignment wrapText="1"/>
    </xf>
    <xf numFmtId="0" fontId="23" fillId="7" borderId="8" xfId="0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2" fillId="7" borderId="18" xfId="0" applyFont="1" applyFill="1" applyBorder="1" applyAlignment="1">
      <alignment horizontal="center" vertical="center" wrapText="1"/>
    </xf>
    <xf numFmtId="0" fontId="23" fillId="7" borderId="15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3" fillId="7" borderId="27" xfId="0" applyFont="1" applyFill="1" applyBorder="1" applyAlignment="1">
      <alignment horizontal="center" vertical="center" wrapText="1"/>
    </xf>
    <xf numFmtId="0" fontId="23" fillId="7" borderId="40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 wrapText="1"/>
    </xf>
    <xf numFmtId="0" fontId="17" fillId="7" borderId="29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9" fontId="17" fillId="7" borderId="6" xfId="0" applyNumberFormat="1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9" fontId="20" fillId="7" borderId="6" xfId="1" applyFont="1" applyFill="1" applyBorder="1" applyAlignment="1">
      <alignment horizontal="center" vertical="center" wrapText="1"/>
    </xf>
    <xf numFmtId="165" fontId="20" fillId="7" borderId="16" xfId="0" applyNumberFormat="1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9" fontId="20" fillId="7" borderId="8" xfId="0" applyNumberFormat="1" applyFont="1" applyFill="1" applyBorder="1" applyAlignment="1">
      <alignment horizontal="center" vertical="center" wrapText="1"/>
    </xf>
    <xf numFmtId="2" fontId="20" fillId="7" borderId="18" xfId="0" applyNumberFormat="1" applyFont="1" applyFill="1" applyBorder="1" applyAlignment="1">
      <alignment horizontal="center" vertical="center" wrapText="1"/>
    </xf>
    <xf numFmtId="2" fontId="17" fillId="7" borderId="16" xfId="1" applyNumberFormat="1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left" vertical="center" wrapText="1"/>
    </xf>
    <xf numFmtId="2" fontId="17" fillId="6" borderId="6" xfId="0" applyNumberFormat="1" applyFont="1" applyFill="1" applyBorder="1" applyAlignment="1">
      <alignment horizontal="left" vertical="center" wrapText="1"/>
    </xf>
    <xf numFmtId="0" fontId="17" fillId="7" borderId="67" xfId="0" applyFont="1" applyFill="1" applyBorder="1" applyAlignment="1">
      <alignment vertical="center" wrapText="1"/>
    </xf>
    <xf numFmtId="0" fontId="13" fillId="5" borderId="68" xfId="0" applyFont="1" applyFill="1" applyBorder="1" applyAlignment="1">
      <alignment vertical="center" wrapText="1"/>
    </xf>
    <xf numFmtId="0" fontId="13" fillId="0" borderId="69" xfId="0" applyFont="1" applyBorder="1" applyAlignment="1">
      <alignment vertical="center" wrapText="1"/>
    </xf>
    <xf numFmtId="165" fontId="20" fillId="7" borderId="6" xfId="0" applyNumberFormat="1" applyFont="1" applyFill="1" applyBorder="1" applyAlignment="1">
      <alignment horizontal="center" vertical="center" wrapText="1"/>
    </xf>
    <xf numFmtId="165" fontId="20" fillId="7" borderId="8" xfId="0" applyNumberFormat="1" applyFont="1" applyFill="1" applyBorder="1" applyAlignment="1">
      <alignment horizontal="center" vertical="center" wrapText="1"/>
    </xf>
    <xf numFmtId="2" fontId="22" fillId="7" borderId="40" xfId="0" applyNumberFormat="1" applyFont="1" applyFill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14" fontId="14" fillId="0" borderId="6" xfId="0" applyNumberFormat="1" applyFont="1" applyBorder="1" applyAlignment="1">
      <alignment horizontal="center" vertical="center" wrapText="1"/>
    </xf>
    <xf numFmtId="14" fontId="5" fillId="0" borderId="36" xfId="0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top" wrapText="1"/>
    </xf>
    <xf numFmtId="0" fontId="21" fillId="0" borderId="52" xfId="0" applyFont="1" applyBorder="1" applyAlignment="1">
      <alignment horizontal="left" vertical="top" wrapText="1"/>
    </xf>
    <xf numFmtId="0" fontId="21" fillId="0" borderId="56" xfId="0" applyFont="1" applyBorder="1" applyAlignment="1">
      <alignment horizontal="left" vertical="top" wrapText="1"/>
    </xf>
    <xf numFmtId="0" fontId="24" fillId="6" borderId="5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0" borderId="3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13" fillId="0" borderId="63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23" fillId="7" borderId="27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/>
    </xf>
    <xf numFmtId="0" fontId="23" fillId="7" borderId="4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31" xfId="0" applyFont="1" applyBorder="1" applyAlignment="1">
      <alignment horizontal="left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" fillId="0" borderId="19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2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Organizational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Score!$D$4</c:f>
              <c:strCache>
                <c:ptCount val="1"/>
                <c:pt idx="0">
                  <c:v>Organizational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(Score!$F$2,Score!$H$2,Score!$J$2,Score!$L$2,Score!$N$2)</c:f>
              <c:strCache>
                <c:ptCount val="5"/>
                <c:pt idx="0">
                  <c:v>Pilot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</c:strCache>
            </c:strRef>
          </c:cat>
          <c:val>
            <c:numRef>
              <c:f>(Score!$F$4,Score!$H$4,Score!$J$4,Score!$L$4,Score!$N$4)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F8-4E50-BC36-C49FEFE6DD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4862976"/>
        <c:axId val="292597296"/>
      </c:barChart>
      <c:catAx>
        <c:axId val="34862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97296"/>
        <c:crosses val="autoZero"/>
        <c:auto val="1"/>
        <c:lblAlgn val="ctr"/>
        <c:lblOffset val="100"/>
        <c:noMultiLvlLbl val="0"/>
      </c:catAx>
      <c:valAx>
        <c:axId val="2925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6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Self Development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Score!$D$5</c:f>
              <c:strCache>
                <c:ptCount val="1"/>
                <c:pt idx="0">
                  <c:v>Self Development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(Score!$F$2,Score!$H$2,Score!$J$2,Score!$L$2,Score!$N$2)</c:f>
              <c:strCache>
                <c:ptCount val="5"/>
                <c:pt idx="0">
                  <c:v>Pilot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</c:strCache>
            </c:strRef>
          </c:cat>
          <c:val>
            <c:numRef>
              <c:f>(Score!$F$5,Score!$H$5,Score!$J$5,Score!$L$5,Score!$N$5)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38-476A-AD58-07E122D36C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3056272"/>
        <c:axId val="262607864"/>
      </c:barChart>
      <c:catAx>
        <c:axId val="263056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07864"/>
        <c:crosses val="autoZero"/>
        <c:auto val="1"/>
        <c:lblAlgn val="ctr"/>
        <c:lblOffset val="100"/>
        <c:noMultiLvlLbl val="0"/>
      </c:catAx>
      <c:valAx>
        <c:axId val="26260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5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Developing Others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Score!$D$6</c:f>
              <c:strCache>
                <c:ptCount val="1"/>
                <c:pt idx="0">
                  <c:v>Developing Others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(Score!$F$2,Score!$H$2,Score!$J$2,Score!$L$2,Score!$N$2)</c:f>
              <c:strCache>
                <c:ptCount val="5"/>
                <c:pt idx="0">
                  <c:v>Pilot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</c:strCache>
            </c:strRef>
          </c:cat>
          <c:val>
            <c:numRef>
              <c:f>(Score!$F$6,Score!$H$6,Score!$J$6,Score!$L$6,Score!$N$6)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5C-410E-B00A-74774EB32E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4227320"/>
        <c:axId val="294254768"/>
      </c:barChart>
      <c:catAx>
        <c:axId val="2642273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54768"/>
        <c:crosses val="autoZero"/>
        <c:auto val="1"/>
        <c:lblAlgn val="ctr"/>
        <c:lblOffset val="100"/>
        <c:noMultiLvlLbl val="0"/>
      </c:catAx>
      <c:valAx>
        <c:axId val="29425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27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Score!$D$3</c:f>
              <c:strCache>
                <c:ptCount val="1"/>
                <c:pt idx="0">
                  <c:v>Functional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(Score!$F$2,Score!$H$2,Score!$J$2,Score!$L$2,Score!$N$2)</c:f>
              <c:strCache>
                <c:ptCount val="5"/>
                <c:pt idx="0">
                  <c:v>Pilot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</c:strCache>
            </c:strRef>
          </c:cat>
          <c:val>
            <c:numRef>
              <c:f>(Score!$F$3,Score!$H$3,Score!$J$3,Score!$L$3,Score!$N$3)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41-45CC-BF7B-665544F478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4255944"/>
        <c:axId val="294251240"/>
      </c:barChart>
      <c:catAx>
        <c:axId val="294255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51240"/>
        <c:crosses val="autoZero"/>
        <c:auto val="1"/>
        <c:lblAlgn val="ctr"/>
        <c:lblOffset val="100"/>
        <c:noMultiLvlLbl val="0"/>
      </c:catAx>
      <c:valAx>
        <c:axId val="29425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55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" cy="44450"/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90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1039090</xdr:colOff>
      <xdr:row>1</xdr:row>
      <xdr:rowOff>308055</xdr:rowOff>
    </xdr:from>
    <xdr:to>
      <xdr:col>3</xdr:col>
      <xdr:colOff>62675</xdr:colOff>
      <xdr:row>7</xdr:row>
      <xdr:rowOff>93032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45181" y="585146"/>
          <a:ext cx="2337130" cy="15398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9</xdr:row>
      <xdr:rowOff>19051</xdr:rowOff>
    </xdr:from>
    <xdr:to>
      <xdr:col>15</xdr:col>
      <xdr:colOff>114300</xdr:colOff>
      <xdr:row>23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24</xdr:row>
      <xdr:rowOff>180975</xdr:rowOff>
    </xdr:from>
    <xdr:to>
      <xdr:col>7</xdr:col>
      <xdr:colOff>361951</xdr:colOff>
      <xdr:row>39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25</xdr:row>
      <xdr:rowOff>0</xdr:rowOff>
    </xdr:from>
    <xdr:to>
      <xdr:col>15</xdr:col>
      <xdr:colOff>219075</xdr:colOff>
      <xdr:row>39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238126</xdr:colOff>
      <xdr:row>9</xdr:row>
      <xdr:rowOff>28574</xdr:rowOff>
    </xdr:from>
    <xdr:to>
      <xdr:col>7</xdr:col>
      <xdr:colOff>342901</xdr:colOff>
      <xdr:row>24</xdr:row>
      <xdr:rowOff>19049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0</xdr:colOff>
      <xdr:row>0</xdr:row>
      <xdr:rowOff>0</xdr:rowOff>
    </xdr:from>
    <xdr:ext cx="19050" cy="44450"/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0"/>
          <a:ext cx="190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G32"/>
  <sheetViews>
    <sheetView tabSelected="1" topLeftCell="G1" zoomScale="55" zoomScaleNormal="55" zoomScaleSheetLayoutView="56" workbookViewId="0">
      <selection activeCell="S10" sqref="S10"/>
    </sheetView>
  </sheetViews>
  <sheetFormatPr defaultColWidth="8.81640625" defaultRowHeight="21" x14ac:dyDescent="0.5"/>
  <cols>
    <col min="1" max="1" width="9.81640625" style="80" customWidth="1"/>
    <col min="2" max="2" width="43.1796875" style="80" customWidth="1"/>
    <col min="3" max="3" width="47.453125" style="80" customWidth="1"/>
    <col min="4" max="4" width="36.81640625" style="80" customWidth="1"/>
    <col min="5" max="5" width="32.1796875" style="80" customWidth="1"/>
    <col min="6" max="6" width="32.1796875" style="67" customWidth="1"/>
    <col min="7" max="7" width="31.1796875" style="80" bestFit="1" customWidth="1"/>
    <col min="8" max="9" width="32.1796875" style="80" customWidth="1"/>
    <col min="10" max="10" width="38.81640625" style="80" customWidth="1"/>
    <col min="11" max="11" width="8.1796875" style="80" customWidth="1"/>
    <col min="12" max="12" width="10" style="80" customWidth="1"/>
    <col min="13" max="13" width="34.54296875" style="80" customWidth="1"/>
    <col min="14" max="14" width="8.54296875" style="80" customWidth="1"/>
    <col min="15" max="15" width="10.1796875" style="80" bestFit="1" customWidth="1"/>
    <col min="16" max="16" width="37.453125" style="80" customWidth="1"/>
    <col min="17" max="17" width="8.81640625" style="80" customWidth="1"/>
    <col min="18" max="18" width="10.1796875" style="80" bestFit="1" customWidth="1"/>
    <col min="19" max="19" width="29.1796875" style="80" customWidth="1"/>
    <col min="20" max="20" width="13.1796875" style="80" bestFit="1" customWidth="1"/>
    <col min="21" max="21" width="4" style="80" bestFit="1" customWidth="1"/>
    <col min="22" max="22" width="5.1796875" style="81" bestFit="1" customWidth="1"/>
    <col min="23" max="23" width="22.81640625" style="80" bestFit="1" customWidth="1"/>
    <col min="24" max="24" width="5.1796875" style="81" bestFit="1" customWidth="1"/>
    <col min="25" max="25" width="6.1796875" style="81" bestFit="1" customWidth="1"/>
    <col min="26" max="26" width="22.81640625" style="80" bestFit="1" customWidth="1"/>
    <col min="27" max="27" width="5.1796875" style="81" bestFit="1" customWidth="1"/>
    <col min="28" max="28" width="3.1796875" style="81" bestFit="1" customWidth="1"/>
    <col min="29" max="29" width="22.81640625" style="80" bestFit="1" customWidth="1"/>
    <col min="30" max="30" width="4" style="81" bestFit="1" customWidth="1"/>
    <col min="31" max="31" width="3.1796875" style="81" bestFit="1" customWidth="1"/>
    <col min="32" max="32" width="22.81640625" style="81" bestFit="1" customWidth="1"/>
    <col min="33" max="33" width="15.1796875" style="80" bestFit="1" customWidth="1"/>
    <col min="34" max="16384" width="8.81640625" style="80"/>
  </cols>
  <sheetData>
    <row r="1" spans="2:33" ht="21.5" thickBot="1" x14ac:dyDescent="0.55000000000000004"/>
    <row r="2" spans="2:33" ht="31.5" thickBot="1" x14ac:dyDescent="0.55000000000000004">
      <c r="B2" s="181"/>
      <c r="C2" s="96" t="s">
        <v>66</v>
      </c>
      <c r="D2" s="187"/>
      <c r="E2" s="187"/>
      <c r="F2" s="98" t="s">
        <v>69</v>
      </c>
      <c r="G2" s="97" t="s">
        <v>74</v>
      </c>
      <c r="H2" s="94" t="s">
        <v>60</v>
      </c>
      <c r="I2" s="95"/>
      <c r="J2" s="103" t="s">
        <v>67</v>
      </c>
      <c r="K2" s="79"/>
      <c r="M2" s="167">
        <f>'Organizational Dimension'!B4</f>
        <v>0</v>
      </c>
      <c r="N2" s="168" t="e">
        <f>'Organizational Dimension'!Y4</f>
        <v>#DIV/0!</v>
      </c>
      <c r="O2" s="79"/>
      <c r="P2" s="169" t="s">
        <v>71</v>
      </c>
      <c r="Q2" s="79"/>
      <c r="R2" s="79"/>
      <c r="S2" s="79"/>
      <c r="V2" s="80"/>
      <c r="X2" s="80"/>
      <c r="Y2" s="80"/>
      <c r="AA2" s="80"/>
      <c r="AB2" s="80"/>
      <c r="AD2" s="80"/>
      <c r="AE2" s="80"/>
      <c r="AF2" s="80"/>
    </row>
    <row r="3" spans="2:33" ht="21" customHeight="1" thickBot="1" x14ac:dyDescent="0.55000000000000004">
      <c r="B3" s="182"/>
      <c r="C3" s="184" t="s">
        <v>70</v>
      </c>
      <c r="D3" s="87" t="s">
        <v>0</v>
      </c>
      <c r="E3" s="87"/>
      <c r="F3" s="87" t="s">
        <v>68</v>
      </c>
      <c r="G3" s="176"/>
      <c r="H3" s="87" t="s">
        <v>57</v>
      </c>
      <c r="I3" s="92"/>
      <c r="J3" s="104" t="str">
        <f>Score!F7</f>
        <v xml:space="preserve"> </v>
      </c>
      <c r="K3" s="79"/>
      <c r="L3" s="79"/>
      <c r="M3" s="167">
        <f>'Organizational Dimension'!B5</f>
        <v>0</v>
      </c>
      <c r="N3" s="168" t="e">
        <f>'Organizational Dimension'!Y5</f>
        <v>#DIV/0!</v>
      </c>
      <c r="O3" s="79"/>
      <c r="P3" s="170" t="s">
        <v>72</v>
      </c>
      <c r="Q3" s="79"/>
      <c r="R3" s="79"/>
      <c r="S3" s="79"/>
      <c r="V3" s="80"/>
      <c r="X3" s="80"/>
      <c r="Y3" s="80"/>
      <c r="AA3" s="80"/>
      <c r="AB3" s="80"/>
      <c r="AD3" s="80"/>
      <c r="AE3" s="80"/>
      <c r="AF3" s="80"/>
    </row>
    <row r="4" spans="2:33" ht="21.5" thickBot="1" x14ac:dyDescent="0.55000000000000004">
      <c r="B4" s="182"/>
      <c r="C4" s="185"/>
      <c r="D4" s="87" t="s">
        <v>31</v>
      </c>
      <c r="E4" s="88"/>
      <c r="F4" s="87" t="s">
        <v>3</v>
      </c>
      <c r="G4" s="176"/>
      <c r="H4" s="87" t="s">
        <v>57</v>
      </c>
      <c r="I4" s="92"/>
      <c r="J4" s="105" t="str">
        <f>Score!H7</f>
        <v xml:space="preserve"> </v>
      </c>
      <c r="K4" s="79"/>
      <c r="L4" s="79"/>
      <c r="M4" s="167">
        <f>'Organizational Dimension'!B6</f>
        <v>0</v>
      </c>
      <c r="N4" s="168" t="e">
        <f>'Organizational Dimension'!Y6</f>
        <v>#DIV/0!</v>
      </c>
      <c r="O4" s="79"/>
      <c r="P4" s="171" t="s">
        <v>73</v>
      </c>
      <c r="Q4" s="79"/>
      <c r="R4" s="79"/>
      <c r="S4" s="79"/>
      <c r="V4" s="80"/>
      <c r="X4" s="80"/>
      <c r="Y4" s="80"/>
      <c r="AA4" s="80"/>
      <c r="AB4" s="80"/>
      <c r="AD4" s="80"/>
      <c r="AE4" s="80"/>
      <c r="AF4" s="80"/>
    </row>
    <row r="5" spans="2:33" ht="21" customHeight="1" x14ac:dyDescent="0.5">
      <c r="B5" s="182"/>
      <c r="C5" s="185"/>
      <c r="D5" s="87" t="s">
        <v>2</v>
      </c>
      <c r="E5" s="87"/>
      <c r="F5" s="87" t="s">
        <v>5</v>
      </c>
      <c r="G5" s="176"/>
      <c r="H5" s="87" t="s">
        <v>57</v>
      </c>
      <c r="I5" s="92"/>
      <c r="J5" s="104" t="str">
        <f>Score!J7</f>
        <v xml:space="preserve"> </v>
      </c>
      <c r="K5" s="79"/>
      <c r="L5" s="79"/>
      <c r="M5" s="167">
        <f>'Organizational Dimension'!B7</f>
        <v>0</v>
      </c>
      <c r="N5" s="168" t="e">
        <f>'Organizational Dimension'!Y7</f>
        <v>#DIV/0!</v>
      </c>
      <c r="O5" s="79"/>
      <c r="P5" s="79"/>
      <c r="Q5" s="79"/>
      <c r="R5" s="79"/>
      <c r="S5" s="79"/>
      <c r="V5" s="80"/>
      <c r="X5" s="80"/>
      <c r="Y5" s="80"/>
      <c r="AA5" s="80"/>
      <c r="AB5" s="80"/>
      <c r="AD5" s="80"/>
      <c r="AE5" s="80"/>
      <c r="AF5" s="80"/>
    </row>
    <row r="6" spans="2:33" x14ac:dyDescent="0.5">
      <c r="B6" s="182"/>
      <c r="C6" s="185"/>
      <c r="D6" s="87" t="s">
        <v>4</v>
      </c>
      <c r="E6" s="87"/>
      <c r="F6" s="87" t="s">
        <v>7</v>
      </c>
      <c r="G6" s="176"/>
      <c r="H6" s="87" t="s">
        <v>57</v>
      </c>
      <c r="I6" s="92"/>
      <c r="J6" s="105" t="str">
        <f>Score!L7</f>
        <v xml:space="preserve"> </v>
      </c>
      <c r="K6" s="79"/>
      <c r="L6" s="79"/>
      <c r="M6" s="167">
        <f>'Organizational Dimension'!B8</f>
        <v>0</v>
      </c>
      <c r="N6" s="168" t="e">
        <f>'Organizational Dimension'!Y8</f>
        <v>#DIV/0!</v>
      </c>
      <c r="O6" s="79"/>
      <c r="P6" s="79"/>
      <c r="Q6" s="79"/>
      <c r="R6" s="79"/>
      <c r="S6" s="79"/>
      <c r="V6" s="80"/>
      <c r="X6" s="80"/>
      <c r="Y6" s="80"/>
      <c r="AA6" s="80"/>
      <c r="AB6" s="80"/>
      <c r="AD6" s="80"/>
      <c r="AE6" s="80"/>
      <c r="AF6" s="80"/>
    </row>
    <row r="7" spans="2:33" ht="21.5" thickBot="1" x14ac:dyDescent="0.55000000000000004">
      <c r="B7" s="183"/>
      <c r="C7" s="186"/>
      <c r="D7" s="90" t="s">
        <v>6</v>
      </c>
      <c r="E7" s="91"/>
      <c r="F7" s="90" t="s">
        <v>9</v>
      </c>
      <c r="G7" s="175"/>
      <c r="H7" s="90" t="s">
        <v>57</v>
      </c>
      <c r="I7" s="93"/>
      <c r="J7" s="106" t="str">
        <f>Score!N7</f>
        <v xml:space="preserve"> </v>
      </c>
      <c r="K7" s="79"/>
      <c r="L7" s="79"/>
      <c r="M7" s="167">
        <f>'Organizational Dimension'!B9</f>
        <v>0</v>
      </c>
      <c r="N7" s="168" t="e">
        <f>'Organizational Dimension'!Y9</f>
        <v>#DIV/0!</v>
      </c>
      <c r="O7" s="79"/>
      <c r="P7" s="79"/>
      <c r="Q7" s="79"/>
      <c r="R7" s="79"/>
      <c r="S7" s="79"/>
      <c r="V7" s="80"/>
      <c r="X7" s="80"/>
      <c r="Y7" s="80"/>
      <c r="AA7" s="80"/>
      <c r="AB7" s="80"/>
      <c r="AD7" s="80"/>
      <c r="AE7" s="80"/>
      <c r="AF7" s="80"/>
    </row>
    <row r="9" spans="2:33" s="67" customFormat="1" x14ac:dyDescent="0.5">
      <c r="B9" s="180" t="s">
        <v>10</v>
      </c>
      <c r="C9" s="180"/>
      <c r="D9" s="180"/>
      <c r="E9" s="180"/>
      <c r="F9" s="180"/>
      <c r="G9" s="180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80"/>
      <c r="V9" s="80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</row>
    <row r="10" spans="2:33" s="67" customFormat="1" x14ac:dyDescent="0.35">
      <c r="B10" s="179" t="s">
        <v>11</v>
      </c>
      <c r="C10" s="179"/>
      <c r="D10" s="89"/>
      <c r="E10" s="89"/>
      <c r="F10" s="99">
        <v>0.6</v>
      </c>
      <c r="G10" s="89"/>
      <c r="H10" s="89"/>
      <c r="I10" s="99">
        <v>0.6</v>
      </c>
      <c r="J10" s="109"/>
      <c r="K10" s="109"/>
      <c r="L10" s="99">
        <v>0.6</v>
      </c>
      <c r="M10" s="109"/>
      <c r="N10" s="109"/>
      <c r="O10" s="99">
        <v>0.6</v>
      </c>
      <c r="P10" s="109"/>
      <c r="Q10" s="109"/>
      <c r="R10" s="99">
        <v>0.6</v>
      </c>
    </row>
    <row r="11" spans="2:33" ht="21.5" thickBot="1" x14ac:dyDescent="0.55000000000000004"/>
    <row r="12" spans="2:33" ht="60" customHeight="1" x14ac:dyDescent="0.5">
      <c r="B12" s="151" t="s">
        <v>12</v>
      </c>
      <c r="C12" s="152" t="s">
        <v>13</v>
      </c>
      <c r="D12" s="152" t="s">
        <v>29</v>
      </c>
      <c r="E12" s="152" t="s">
        <v>14</v>
      </c>
      <c r="F12" s="152" t="s">
        <v>28</v>
      </c>
      <c r="G12" s="152" t="s">
        <v>55</v>
      </c>
      <c r="H12" s="152" t="s">
        <v>14</v>
      </c>
      <c r="I12" s="152" t="s">
        <v>15</v>
      </c>
      <c r="J12" s="152" t="s">
        <v>55</v>
      </c>
      <c r="K12" s="152" t="s">
        <v>14</v>
      </c>
      <c r="L12" s="152" t="s">
        <v>16</v>
      </c>
      <c r="M12" s="152" t="s">
        <v>55</v>
      </c>
      <c r="N12" s="152" t="s">
        <v>14</v>
      </c>
      <c r="O12" s="152" t="s">
        <v>17</v>
      </c>
      <c r="P12" s="152" t="s">
        <v>55</v>
      </c>
      <c r="Q12" s="152" t="s">
        <v>14</v>
      </c>
      <c r="R12" s="152" t="s">
        <v>18</v>
      </c>
      <c r="S12" s="152" t="s">
        <v>55</v>
      </c>
      <c r="T12" s="153" t="s">
        <v>19</v>
      </c>
      <c r="V12" s="80"/>
      <c r="X12" s="80"/>
      <c r="Y12" s="80"/>
      <c r="AA12" s="80"/>
      <c r="AB12" s="80"/>
      <c r="AD12" s="80"/>
      <c r="AE12" s="80"/>
      <c r="AF12" s="80"/>
    </row>
    <row r="13" spans="2:33" s="67" customFormat="1" x14ac:dyDescent="0.35">
      <c r="B13" s="154"/>
      <c r="C13" s="155"/>
      <c r="D13" s="155"/>
      <c r="E13" s="156">
        <f>SUM(E14:E27)</f>
        <v>0</v>
      </c>
      <c r="F13" s="155"/>
      <c r="G13" s="156"/>
      <c r="H13" s="156">
        <f>SUM(H14:H27)</f>
        <v>0</v>
      </c>
      <c r="I13" s="155"/>
      <c r="J13" s="156"/>
      <c r="K13" s="156">
        <f>SUM(K14:K27)</f>
        <v>0</v>
      </c>
      <c r="L13" s="155"/>
      <c r="M13" s="155"/>
      <c r="N13" s="156">
        <f>SUM(N14:N27)</f>
        <v>0</v>
      </c>
      <c r="O13" s="155"/>
      <c r="P13" s="155"/>
      <c r="Q13" s="156">
        <f>SUM(Q14:Q27)</f>
        <v>0</v>
      </c>
      <c r="R13" s="155"/>
      <c r="S13" s="155"/>
      <c r="T13" s="157"/>
    </row>
    <row r="14" spans="2:33" s="67" customFormat="1" x14ac:dyDescent="0.35">
      <c r="B14" s="107"/>
      <c r="C14" s="65"/>
      <c r="D14" s="65"/>
      <c r="E14" s="68"/>
      <c r="F14" s="65"/>
      <c r="G14" s="65"/>
      <c r="H14" s="68"/>
      <c r="I14" s="65"/>
      <c r="J14" s="68"/>
      <c r="K14" s="68"/>
      <c r="L14" s="65"/>
      <c r="M14" s="65"/>
      <c r="N14" s="68"/>
      <c r="O14" s="65"/>
      <c r="P14" s="65"/>
      <c r="Q14" s="68"/>
      <c r="R14" s="65"/>
      <c r="S14" s="65"/>
      <c r="T14" s="166" t="e">
        <f>AVERAGE(I14,L14,O14,R14)</f>
        <v>#DIV/0!</v>
      </c>
    </row>
    <row r="15" spans="2:33" s="67" customFormat="1" x14ac:dyDescent="0.35">
      <c r="B15" s="107"/>
      <c r="C15" s="65"/>
      <c r="D15" s="65"/>
      <c r="E15" s="68"/>
      <c r="F15" s="65"/>
      <c r="G15" s="65"/>
      <c r="H15" s="68"/>
      <c r="I15" s="65"/>
      <c r="J15" s="68"/>
      <c r="K15" s="68"/>
      <c r="L15" s="65"/>
      <c r="M15" s="65"/>
      <c r="N15" s="68"/>
      <c r="O15" s="65"/>
      <c r="P15" s="65"/>
      <c r="Q15" s="68"/>
      <c r="R15" s="65"/>
      <c r="S15" s="65"/>
      <c r="T15" s="166" t="e">
        <f t="shared" ref="T15:T26" si="0">AVERAGE(I15,L15,O15,R15)</f>
        <v>#DIV/0!</v>
      </c>
    </row>
    <row r="16" spans="2:33" s="67" customFormat="1" x14ac:dyDescent="0.35">
      <c r="B16" s="107"/>
      <c r="C16" s="65"/>
      <c r="D16" s="65"/>
      <c r="E16" s="68"/>
      <c r="F16" s="65"/>
      <c r="G16" s="65"/>
      <c r="H16" s="68"/>
      <c r="I16" s="65"/>
      <c r="J16" s="68"/>
      <c r="K16" s="68"/>
      <c r="L16" s="65"/>
      <c r="M16" s="65"/>
      <c r="N16" s="68"/>
      <c r="O16" s="65"/>
      <c r="P16" s="65"/>
      <c r="Q16" s="68"/>
      <c r="R16" s="65"/>
      <c r="S16" s="65"/>
      <c r="T16" s="166" t="e">
        <f t="shared" si="0"/>
        <v>#DIV/0!</v>
      </c>
    </row>
    <row r="17" spans="2:20" s="67" customFormat="1" x14ac:dyDescent="0.35">
      <c r="B17" s="107"/>
      <c r="C17" s="65"/>
      <c r="D17" s="65"/>
      <c r="E17" s="68"/>
      <c r="F17" s="65"/>
      <c r="G17" s="65"/>
      <c r="H17" s="68"/>
      <c r="I17" s="65"/>
      <c r="J17" s="68"/>
      <c r="K17" s="68"/>
      <c r="L17" s="65"/>
      <c r="M17" s="65"/>
      <c r="N17" s="68"/>
      <c r="O17" s="65"/>
      <c r="P17" s="65"/>
      <c r="Q17" s="68"/>
      <c r="R17" s="65"/>
      <c r="S17" s="65"/>
      <c r="T17" s="166" t="e">
        <f t="shared" si="0"/>
        <v>#DIV/0!</v>
      </c>
    </row>
    <row r="18" spans="2:20" s="67" customFormat="1" x14ac:dyDescent="0.35">
      <c r="B18" s="107"/>
      <c r="C18" s="68"/>
      <c r="D18" s="65"/>
      <c r="E18" s="68"/>
      <c r="F18" s="65"/>
      <c r="G18" s="65"/>
      <c r="H18" s="68"/>
      <c r="I18" s="65"/>
      <c r="J18" s="68"/>
      <c r="K18" s="68"/>
      <c r="L18" s="65"/>
      <c r="M18" s="65"/>
      <c r="N18" s="68"/>
      <c r="O18" s="65"/>
      <c r="P18" s="65"/>
      <c r="Q18" s="68"/>
      <c r="R18" s="65"/>
      <c r="S18" s="65"/>
      <c r="T18" s="166" t="e">
        <f t="shared" si="0"/>
        <v>#DIV/0!</v>
      </c>
    </row>
    <row r="19" spans="2:20" s="67" customFormat="1" x14ac:dyDescent="0.35">
      <c r="B19" s="178"/>
      <c r="C19" s="65"/>
      <c r="D19" s="65"/>
      <c r="E19" s="68"/>
      <c r="F19" s="65"/>
      <c r="G19" s="68"/>
      <c r="H19" s="68"/>
      <c r="I19" s="65"/>
      <c r="J19" s="68"/>
      <c r="K19" s="68"/>
      <c r="L19" s="65"/>
      <c r="M19" s="65"/>
      <c r="N19" s="68"/>
      <c r="O19" s="65"/>
      <c r="P19" s="65"/>
      <c r="Q19" s="68"/>
      <c r="R19" s="65"/>
      <c r="S19" s="65"/>
      <c r="T19" s="166" t="e">
        <f t="shared" si="0"/>
        <v>#DIV/0!</v>
      </c>
    </row>
    <row r="20" spans="2:20" s="67" customFormat="1" x14ac:dyDescent="0.35">
      <c r="B20" s="108"/>
      <c r="C20" s="108"/>
      <c r="D20" s="65"/>
      <c r="E20" s="68"/>
      <c r="F20" s="65"/>
      <c r="G20" s="68"/>
      <c r="H20" s="68"/>
      <c r="I20" s="65"/>
      <c r="J20" s="68"/>
      <c r="K20" s="68"/>
      <c r="L20" s="65"/>
      <c r="M20" s="65"/>
      <c r="N20" s="68"/>
      <c r="O20" s="65"/>
      <c r="P20" s="65"/>
      <c r="Q20" s="82"/>
      <c r="R20" s="65"/>
      <c r="S20" s="65"/>
      <c r="T20" s="166" t="e">
        <f t="shared" si="0"/>
        <v>#DIV/0!</v>
      </c>
    </row>
    <row r="21" spans="2:20" s="67" customFormat="1" x14ac:dyDescent="0.35">
      <c r="B21" s="108"/>
      <c r="C21" s="65"/>
      <c r="D21" s="64"/>
      <c r="E21" s="68"/>
      <c r="F21" s="65"/>
      <c r="G21" s="68"/>
      <c r="H21" s="68"/>
      <c r="I21" s="65"/>
      <c r="J21" s="68"/>
      <c r="K21" s="68"/>
      <c r="L21" s="65"/>
      <c r="M21" s="65"/>
      <c r="N21" s="82"/>
      <c r="O21" s="65"/>
      <c r="P21" s="65"/>
      <c r="Q21" s="82"/>
      <c r="R21" s="65"/>
      <c r="S21" s="65"/>
      <c r="T21" s="166" t="e">
        <f t="shared" si="0"/>
        <v>#DIV/0!</v>
      </c>
    </row>
    <row r="22" spans="2:20" s="67" customFormat="1" x14ac:dyDescent="0.35">
      <c r="B22" s="108"/>
      <c r="C22" s="65"/>
      <c r="D22" s="64"/>
      <c r="E22" s="68"/>
      <c r="F22" s="65"/>
      <c r="G22" s="68"/>
      <c r="H22" s="68"/>
      <c r="I22" s="65"/>
      <c r="J22" s="68"/>
      <c r="K22" s="68"/>
      <c r="L22" s="65"/>
      <c r="M22" s="65"/>
      <c r="N22" s="82"/>
      <c r="O22" s="65"/>
      <c r="P22" s="65"/>
      <c r="Q22" s="82"/>
      <c r="R22" s="65"/>
      <c r="S22" s="65"/>
      <c r="T22" s="166" t="e">
        <f t="shared" si="0"/>
        <v>#DIV/0!</v>
      </c>
    </row>
    <row r="23" spans="2:20" s="67" customFormat="1" x14ac:dyDescent="0.35">
      <c r="B23" s="108"/>
      <c r="C23" s="65"/>
      <c r="D23" s="64"/>
      <c r="E23" s="68"/>
      <c r="F23" s="65"/>
      <c r="G23" s="68"/>
      <c r="H23" s="68"/>
      <c r="I23" s="65"/>
      <c r="J23" s="68"/>
      <c r="K23" s="68"/>
      <c r="L23" s="65"/>
      <c r="M23" s="65"/>
      <c r="N23" s="82"/>
      <c r="O23" s="65"/>
      <c r="P23" s="65"/>
      <c r="Q23" s="82"/>
      <c r="R23" s="65"/>
      <c r="S23" s="65"/>
      <c r="T23" s="166" t="e">
        <f t="shared" si="0"/>
        <v>#DIV/0!</v>
      </c>
    </row>
    <row r="24" spans="2:20" s="67" customFormat="1" x14ac:dyDescent="0.35">
      <c r="B24" s="108"/>
      <c r="C24" s="65"/>
      <c r="D24" s="64"/>
      <c r="E24" s="68"/>
      <c r="F24" s="65"/>
      <c r="G24" s="68"/>
      <c r="H24" s="68"/>
      <c r="I24" s="65"/>
      <c r="J24" s="68"/>
      <c r="K24" s="68"/>
      <c r="L24" s="65"/>
      <c r="M24" s="65"/>
      <c r="N24" s="82"/>
      <c r="O24" s="65"/>
      <c r="P24" s="65"/>
      <c r="Q24" s="82"/>
      <c r="R24" s="65"/>
      <c r="S24" s="65"/>
      <c r="T24" s="166" t="e">
        <f t="shared" si="0"/>
        <v>#DIV/0!</v>
      </c>
    </row>
    <row r="25" spans="2:20" s="67" customFormat="1" x14ac:dyDescent="0.35">
      <c r="B25" s="108"/>
      <c r="C25" s="65"/>
      <c r="D25" s="64"/>
      <c r="E25" s="68"/>
      <c r="F25" s="65"/>
      <c r="G25" s="68"/>
      <c r="H25" s="68"/>
      <c r="I25" s="65"/>
      <c r="J25" s="68"/>
      <c r="K25" s="68"/>
      <c r="L25" s="65"/>
      <c r="M25" s="65"/>
      <c r="N25" s="82"/>
      <c r="O25" s="65"/>
      <c r="P25" s="65"/>
      <c r="Q25" s="82"/>
      <c r="R25" s="65"/>
      <c r="S25" s="65"/>
      <c r="T25" s="166" t="e">
        <f t="shared" si="0"/>
        <v>#DIV/0!</v>
      </c>
    </row>
    <row r="26" spans="2:20" s="67" customFormat="1" x14ac:dyDescent="0.35">
      <c r="B26" s="108"/>
      <c r="C26" s="65"/>
      <c r="D26" s="65"/>
      <c r="E26" s="68"/>
      <c r="F26" s="65"/>
      <c r="G26" s="68"/>
      <c r="H26" s="68"/>
      <c r="I26" s="65"/>
      <c r="J26" s="68"/>
      <c r="K26" s="68"/>
      <c r="L26" s="65"/>
      <c r="M26" s="65"/>
      <c r="N26" s="83"/>
      <c r="O26" s="65"/>
      <c r="P26" s="65"/>
      <c r="Q26" s="83"/>
      <c r="R26" s="65"/>
      <c r="S26" s="65"/>
      <c r="T26" s="166" t="e">
        <f t="shared" si="0"/>
        <v>#DIV/0!</v>
      </c>
    </row>
    <row r="27" spans="2:20" s="67" customFormat="1" ht="23.5" x14ac:dyDescent="0.35">
      <c r="B27" s="158"/>
      <c r="C27" s="159"/>
      <c r="D27" s="159"/>
      <c r="E27" s="159"/>
      <c r="F27" s="159">
        <f>SUMPRODUCT(E14:E26,F14:F26)</f>
        <v>0</v>
      </c>
      <c r="G27" s="159"/>
      <c r="H27" s="159"/>
      <c r="I27" s="172">
        <f>SUMPRODUCT(H14:H26,I14:I26)</f>
        <v>0</v>
      </c>
      <c r="J27" s="159"/>
      <c r="K27" s="159"/>
      <c r="L27" s="159">
        <f>SUMPRODUCT(K14:K26,L14:L26)</f>
        <v>0</v>
      </c>
      <c r="M27" s="159"/>
      <c r="N27" s="160"/>
      <c r="O27" s="159">
        <f>SUMPRODUCT(N14:N26,O14:O26)</f>
        <v>0</v>
      </c>
      <c r="P27" s="159"/>
      <c r="Q27" s="160"/>
      <c r="R27" s="159">
        <f>SUMPRODUCT(Q14:Q26,R14:R26)</f>
        <v>0</v>
      </c>
      <c r="S27" s="159"/>
      <c r="T27" s="161"/>
    </row>
    <row r="28" spans="2:20" s="67" customFormat="1" ht="24" thickBot="1" x14ac:dyDescent="0.4">
      <c r="B28" s="162"/>
      <c r="C28" s="163"/>
      <c r="D28" s="163"/>
      <c r="E28" s="164"/>
      <c r="F28" s="163"/>
      <c r="G28" s="163"/>
      <c r="H28" s="164"/>
      <c r="I28" s="173" t="str">
        <f>IF(I27=0,"",I27)</f>
        <v/>
      </c>
      <c r="J28" s="163"/>
      <c r="K28" s="164"/>
      <c r="L28" s="163" t="str">
        <f>IF(L27=0," ",L27)</f>
        <v xml:space="preserve"> </v>
      </c>
      <c r="M28" s="163"/>
      <c r="N28" s="163"/>
      <c r="O28" s="163" t="str">
        <f>IF(O27=0,"",O27)</f>
        <v/>
      </c>
      <c r="P28" s="163"/>
      <c r="Q28" s="163"/>
      <c r="R28" s="163" t="str">
        <f>IF(R27=0,"",R27)</f>
        <v/>
      </c>
      <c r="S28" s="163"/>
      <c r="T28" s="165"/>
    </row>
    <row r="29" spans="2:20" s="67" customFormat="1" x14ac:dyDescent="0.35"/>
    <row r="30" spans="2:20" s="67" customFormat="1" x14ac:dyDescent="0.35"/>
    <row r="31" spans="2:20" s="67" customFormat="1" x14ac:dyDescent="0.35"/>
    <row r="32" spans="2:20" s="67" customFormat="1" x14ac:dyDescent="0.35"/>
  </sheetData>
  <protectedRanges>
    <protectedRange sqref="J3:J7" name="Range1"/>
  </protectedRanges>
  <dataConsolidate function="average" topLabels="1">
    <dataRefs count="1">
      <dataRef ref="B14:Z16" sheet="Functional Dimension"/>
    </dataRefs>
  </dataConsolidate>
  <mergeCells count="5">
    <mergeCell ref="B10:C10"/>
    <mergeCell ref="B9:G9"/>
    <mergeCell ref="B2:B7"/>
    <mergeCell ref="C3:C7"/>
    <mergeCell ref="D2:E2"/>
  </mergeCells>
  <pageMargins left="0.7" right="0.7" top="0.75" bottom="0.75" header="0.3" footer="0.3"/>
  <pageSetup paperSize="9" scale="25" orientation="landscape" errors="dash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Y26"/>
  <sheetViews>
    <sheetView view="pageBreakPreview" topLeftCell="B1" zoomScale="55" zoomScaleNormal="50" zoomScaleSheetLayoutView="55" workbookViewId="0">
      <pane xSplit="4" ySplit="1" topLeftCell="F2" activePane="bottomRight" state="frozen"/>
      <selection activeCell="P21" sqref="P21"/>
      <selection pane="topRight" activeCell="P21" sqref="P21"/>
      <selection pane="bottomLeft" activeCell="P21" sqref="P21"/>
      <selection pane="bottomRight" activeCell="B4" sqref="B4:D8"/>
    </sheetView>
  </sheetViews>
  <sheetFormatPr defaultColWidth="8.81640625" defaultRowHeight="18.5" x14ac:dyDescent="0.45"/>
  <cols>
    <col min="1" max="3" width="8.81640625" style="34"/>
    <col min="4" max="4" width="25.81640625" style="34" customWidth="1"/>
    <col min="5" max="8" width="8.81640625" style="34" customWidth="1"/>
    <col min="9" max="9" width="8.81640625" style="35" customWidth="1"/>
    <col min="10" max="11" width="8.81640625" style="34" customWidth="1"/>
    <col min="12" max="12" width="10.1796875" style="34" customWidth="1"/>
    <col min="13" max="13" width="8.81640625" style="35" customWidth="1"/>
    <col min="14" max="16" width="8.81640625" style="34" customWidth="1"/>
    <col min="17" max="17" width="8.81640625" style="35"/>
    <col min="18" max="19" width="10.1796875" style="34" customWidth="1"/>
    <col min="20" max="20" width="8.81640625" style="34"/>
    <col min="21" max="21" width="8.81640625" style="35"/>
    <col min="22" max="23" width="10.1796875" style="34" customWidth="1"/>
    <col min="24" max="24" width="8.81640625" style="34"/>
    <col min="25" max="25" width="11.81640625" style="40" customWidth="1"/>
    <col min="26" max="16384" width="8.81640625" style="34"/>
  </cols>
  <sheetData>
    <row r="1" spans="2:25" ht="19" thickBot="1" x14ac:dyDescent="0.5">
      <c r="B1" s="190" t="s">
        <v>20</v>
      </c>
      <c r="C1" s="190"/>
      <c r="D1" s="190"/>
      <c r="E1" s="111">
        <v>0.2</v>
      </c>
      <c r="F1" s="191"/>
      <c r="G1" s="191"/>
      <c r="H1" s="191"/>
      <c r="I1" s="111">
        <v>0.2</v>
      </c>
      <c r="J1" s="191"/>
      <c r="K1" s="191"/>
      <c r="L1" s="191"/>
      <c r="M1" s="111">
        <v>0.2</v>
      </c>
      <c r="N1" s="110"/>
      <c r="O1" s="110"/>
      <c r="P1" s="110"/>
      <c r="Q1" s="111">
        <v>0.2</v>
      </c>
      <c r="R1" s="110"/>
      <c r="S1" s="110"/>
      <c r="T1" s="110"/>
      <c r="U1" s="111">
        <v>0.2</v>
      </c>
      <c r="V1" s="110"/>
      <c r="W1" s="110"/>
      <c r="X1" s="110"/>
      <c r="Y1" s="110"/>
    </row>
    <row r="2" spans="2:25" ht="19" thickBot="1" x14ac:dyDescent="0.5">
      <c r="P2" s="35"/>
      <c r="S2" s="35"/>
      <c r="W2" s="35"/>
    </row>
    <row r="3" spans="2:25" ht="19" thickBot="1" x14ac:dyDescent="0.5">
      <c r="B3" s="232" t="s">
        <v>21</v>
      </c>
      <c r="C3" s="233"/>
      <c r="D3" s="234"/>
      <c r="E3" s="150" t="s">
        <v>28</v>
      </c>
      <c r="F3" s="235" t="s">
        <v>22</v>
      </c>
      <c r="G3" s="233"/>
      <c r="H3" s="234"/>
      <c r="I3" s="150" t="s">
        <v>15</v>
      </c>
      <c r="J3" s="235" t="s">
        <v>22</v>
      </c>
      <c r="K3" s="233"/>
      <c r="L3" s="234"/>
      <c r="M3" s="150" t="s">
        <v>16</v>
      </c>
      <c r="N3" s="235" t="s">
        <v>22</v>
      </c>
      <c r="O3" s="233"/>
      <c r="P3" s="234"/>
      <c r="Q3" s="150" t="s">
        <v>17</v>
      </c>
      <c r="R3" s="235" t="s">
        <v>22</v>
      </c>
      <c r="S3" s="233"/>
      <c r="T3" s="234"/>
      <c r="U3" s="150" t="s">
        <v>18</v>
      </c>
      <c r="V3" s="235" t="s">
        <v>22</v>
      </c>
      <c r="W3" s="233"/>
      <c r="X3" s="234"/>
      <c r="Y3" s="124" t="s">
        <v>32</v>
      </c>
    </row>
    <row r="4" spans="2:25" ht="21" x14ac:dyDescent="0.45">
      <c r="B4" s="226"/>
      <c r="C4" s="227"/>
      <c r="D4" s="228"/>
      <c r="E4" s="41"/>
      <c r="F4" s="217"/>
      <c r="G4" s="218"/>
      <c r="H4" s="219"/>
      <c r="I4" s="41"/>
      <c r="J4" s="214"/>
      <c r="K4" s="215"/>
      <c r="L4" s="216"/>
      <c r="M4" s="41"/>
      <c r="N4" s="208"/>
      <c r="O4" s="209"/>
      <c r="P4" s="210"/>
      <c r="Q4" s="41"/>
      <c r="R4" s="195"/>
      <c r="S4" s="195"/>
      <c r="T4" s="195"/>
      <c r="U4" s="62"/>
      <c r="V4" s="196"/>
      <c r="W4" s="197"/>
      <c r="X4" s="198"/>
      <c r="Y4" s="112" t="e">
        <f>AVERAGE(Q4,M4,I4,U4)</f>
        <v>#DIV/0!</v>
      </c>
    </row>
    <row r="5" spans="2:25" ht="21" x14ac:dyDescent="0.45">
      <c r="B5" s="223"/>
      <c r="C5" s="224"/>
      <c r="D5" s="225"/>
      <c r="E5" s="41"/>
      <c r="F5" s="217"/>
      <c r="G5" s="218"/>
      <c r="H5" s="219"/>
      <c r="I5" s="41"/>
      <c r="J5" s="195"/>
      <c r="K5" s="195"/>
      <c r="L5" s="195"/>
      <c r="M5" s="41"/>
      <c r="N5" s="211"/>
      <c r="O5" s="212"/>
      <c r="P5" s="213"/>
      <c r="Q5" s="41"/>
      <c r="R5" s="196"/>
      <c r="S5" s="197"/>
      <c r="T5" s="198"/>
      <c r="U5" s="63"/>
      <c r="V5" s="196"/>
      <c r="W5" s="197"/>
      <c r="X5" s="198"/>
      <c r="Y5" s="113" t="e">
        <f t="shared" ref="Y5:Y13" si="0">AVERAGE(Q5,M5,I5,U5)</f>
        <v>#DIV/0!</v>
      </c>
    </row>
    <row r="6" spans="2:25" ht="21" x14ac:dyDescent="0.45">
      <c r="B6" s="223"/>
      <c r="C6" s="224"/>
      <c r="D6" s="225"/>
      <c r="E6" s="41"/>
      <c r="F6" s="217"/>
      <c r="G6" s="218"/>
      <c r="H6" s="219"/>
      <c r="I6" s="41"/>
      <c r="J6" s="195"/>
      <c r="K6" s="195"/>
      <c r="L6" s="195"/>
      <c r="M6" s="41"/>
      <c r="N6" s="211"/>
      <c r="O6" s="212"/>
      <c r="P6" s="213"/>
      <c r="Q6" s="41"/>
      <c r="R6" s="196"/>
      <c r="S6" s="197"/>
      <c r="T6" s="198"/>
      <c r="U6" s="63"/>
      <c r="V6" s="196"/>
      <c r="W6" s="197"/>
      <c r="X6" s="198"/>
      <c r="Y6" s="113" t="e">
        <f t="shared" si="0"/>
        <v>#DIV/0!</v>
      </c>
    </row>
    <row r="7" spans="2:25" ht="21" x14ac:dyDescent="0.45">
      <c r="B7" s="223"/>
      <c r="C7" s="224"/>
      <c r="D7" s="225"/>
      <c r="E7" s="41"/>
      <c r="F7" s="217"/>
      <c r="G7" s="218"/>
      <c r="H7" s="219"/>
      <c r="I7" s="41"/>
      <c r="J7" s="195"/>
      <c r="K7" s="195"/>
      <c r="L7" s="195"/>
      <c r="M7" s="41"/>
      <c r="N7" s="211"/>
      <c r="O7" s="212"/>
      <c r="P7" s="213"/>
      <c r="Q7" s="41"/>
      <c r="R7" s="196"/>
      <c r="S7" s="197"/>
      <c r="T7" s="198"/>
      <c r="U7" s="63"/>
      <c r="V7" s="196"/>
      <c r="W7" s="197"/>
      <c r="X7" s="198"/>
      <c r="Y7" s="113" t="e">
        <f t="shared" si="0"/>
        <v>#DIV/0!</v>
      </c>
    </row>
    <row r="8" spans="2:25" ht="21" x14ac:dyDescent="0.45">
      <c r="B8" s="223"/>
      <c r="C8" s="224"/>
      <c r="D8" s="225"/>
      <c r="E8" s="41"/>
      <c r="F8" s="217"/>
      <c r="G8" s="218"/>
      <c r="H8" s="219"/>
      <c r="I8" s="41"/>
      <c r="J8" s="195"/>
      <c r="K8" s="195"/>
      <c r="L8" s="195"/>
      <c r="M8" s="41"/>
      <c r="N8" s="211"/>
      <c r="O8" s="212"/>
      <c r="P8" s="213"/>
      <c r="Q8" s="41"/>
      <c r="R8" s="196"/>
      <c r="S8" s="197"/>
      <c r="T8" s="198"/>
      <c r="U8" s="63"/>
      <c r="V8" s="196"/>
      <c r="W8" s="197"/>
      <c r="X8" s="198"/>
      <c r="Y8" s="113" t="e">
        <f t="shared" si="0"/>
        <v>#DIV/0!</v>
      </c>
    </row>
    <row r="9" spans="2:25" ht="21" customHeight="1" x14ac:dyDescent="0.45">
      <c r="B9" s="223"/>
      <c r="C9" s="224"/>
      <c r="D9" s="225"/>
      <c r="E9" s="41"/>
      <c r="F9" s="192"/>
      <c r="G9" s="193"/>
      <c r="H9" s="194"/>
      <c r="I9" s="41"/>
      <c r="J9" s="195"/>
      <c r="K9" s="195"/>
      <c r="L9" s="195"/>
      <c r="M9" s="41"/>
      <c r="N9" s="192"/>
      <c r="O9" s="193"/>
      <c r="P9" s="194"/>
      <c r="Q9" s="41"/>
      <c r="R9" s="192"/>
      <c r="S9" s="193"/>
      <c r="T9" s="194"/>
      <c r="U9" s="41"/>
      <c r="V9" s="192"/>
      <c r="W9" s="193"/>
      <c r="X9" s="194"/>
      <c r="Y9" s="113" t="e">
        <f t="shared" si="0"/>
        <v>#DIV/0!</v>
      </c>
    </row>
    <row r="10" spans="2:25" x14ac:dyDescent="0.45">
      <c r="B10" s="229"/>
      <c r="C10" s="230"/>
      <c r="D10" s="231"/>
      <c r="E10" s="41"/>
      <c r="F10" s="192"/>
      <c r="G10" s="193"/>
      <c r="H10" s="194"/>
      <c r="I10" s="41"/>
      <c r="J10" s="193"/>
      <c r="K10" s="193"/>
      <c r="L10" s="193"/>
      <c r="M10" s="41"/>
      <c r="N10" s="192"/>
      <c r="O10" s="193"/>
      <c r="P10" s="194"/>
      <c r="Q10" s="41"/>
      <c r="R10" s="192"/>
      <c r="S10" s="193"/>
      <c r="T10" s="194"/>
      <c r="U10" s="41"/>
      <c r="V10" s="192"/>
      <c r="W10" s="193"/>
      <c r="X10" s="194"/>
      <c r="Y10" s="113" t="e">
        <f t="shared" si="0"/>
        <v>#DIV/0!</v>
      </c>
    </row>
    <row r="11" spans="2:25" x14ac:dyDescent="0.45">
      <c r="B11" s="229"/>
      <c r="C11" s="230"/>
      <c r="D11" s="231"/>
      <c r="E11" s="41"/>
      <c r="F11" s="192"/>
      <c r="G11" s="193"/>
      <c r="H11" s="194"/>
      <c r="I11" s="41"/>
      <c r="J11" s="193"/>
      <c r="K11" s="193"/>
      <c r="L11" s="193"/>
      <c r="M11" s="41"/>
      <c r="N11" s="192"/>
      <c r="O11" s="193"/>
      <c r="P11" s="194"/>
      <c r="Q11" s="41"/>
      <c r="R11" s="192"/>
      <c r="S11" s="193"/>
      <c r="T11" s="194"/>
      <c r="U11" s="41"/>
      <c r="V11" s="192"/>
      <c r="W11" s="193"/>
      <c r="X11" s="194"/>
      <c r="Y11" s="113" t="e">
        <f t="shared" si="0"/>
        <v>#DIV/0!</v>
      </c>
    </row>
    <row r="12" spans="2:25" x14ac:dyDescent="0.45">
      <c r="B12" s="229"/>
      <c r="C12" s="230"/>
      <c r="D12" s="231"/>
      <c r="E12" s="41"/>
      <c r="F12" s="192"/>
      <c r="G12" s="193"/>
      <c r="H12" s="194"/>
      <c r="I12" s="41"/>
      <c r="J12" s="193"/>
      <c r="K12" s="193"/>
      <c r="L12" s="193"/>
      <c r="M12" s="41"/>
      <c r="N12" s="192"/>
      <c r="O12" s="193"/>
      <c r="P12" s="194"/>
      <c r="Q12" s="41"/>
      <c r="R12" s="192"/>
      <c r="S12" s="193"/>
      <c r="T12" s="194"/>
      <c r="U12" s="41"/>
      <c r="V12" s="192"/>
      <c r="W12" s="193"/>
      <c r="X12" s="194"/>
      <c r="Y12" s="113" t="e">
        <f t="shared" si="0"/>
        <v>#DIV/0!</v>
      </c>
    </row>
    <row r="13" spans="2:25" ht="19" thickBot="1" x14ac:dyDescent="0.5">
      <c r="B13" s="220"/>
      <c r="C13" s="221"/>
      <c r="D13" s="222"/>
      <c r="E13" s="42"/>
      <c r="F13" s="205"/>
      <c r="G13" s="206"/>
      <c r="H13" s="207"/>
      <c r="I13" s="42"/>
      <c r="J13" s="206"/>
      <c r="K13" s="206"/>
      <c r="L13" s="206"/>
      <c r="M13" s="42"/>
      <c r="N13" s="205"/>
      <c r="O13" s="206"/>
      <c r="P13" s="207"/>
      <c r="Q13" s="42"/>
      <c r="R13" s="205"/>
      <c r="S13" s="206"/>
      <c r="T13" s="207"/>
      <c r="U13" s="42"/>
      <c r="V13" s="205"/>
      <c r="W13" s="206"/>
      <c r="X13" s="207"/>
      <c r="Y13" s="113" t="e">
        <f t="shared" si="0"/>
        <v>#DIV/0!</v>
      </c>
    </row>
    <row r="14" spans="2:25" ht="19" thickBot="1" x14ac:dyDescent="0.5">
      <c r="B14" s="114"/>
      <c r="C14" s="115"/>
      <c r="D14" s="115"/>
      <c r="E14" s="116">
        <f>IF(SUM(E4:E13)=0,0,AVERAGE(E4:E13))</f>
        <v>0</v>
      </c>
      <c r="F14" s="115"/>
      <c r="G14" s="115"/>
      <c r="H14" s="115"/>
      <c r="I14" s="116">
        <f>IF(SUM(I4:I13)=0,0,AVERAGE(I4:I13))</f>
        <v>0</v>
      </c>
      <c r="J14" s="117"/>
      <c r="K14" s="117"/>
      <c r="L14" s="117"/>
      <c r="M14" s="116">
        <f>IF(SUM(M4:M13)=0,0,AVERAGE(M4:M13))</f>
        <v>0</v>
      </c>
      <c r="N14" s="117"/>
      <c r="O14" s="117"/>
      <c r="P14" s="118"/>
      <c r="Q14" s="116">
        <f>IF(SUM(Q4:Q13)=0,0,AVERAGE(Q4:Q13))</f>
        <v>0</v>
      </c>
      <c r="R14" s="117"/>
      <c r="S14" s="118"/>
      <c r="T14" s="117"/>
      <c r="U14" s="116">
        <f>IF(SUM(U4:U13)=0,0,AVERAGE(U4:U13))</f>
        <v>0</v>
      </c>
      <c r="V14" s="117"/>
      <c r="W14" s="118"/>
      <c r="X14" s="117"/>
      <c r="Y14" s="119"/>
    </row>
    <row r="15" spans="2:25" ht="19" thickBot="1" x14ac:dyDescent="0.5">
      <c r="B15" s="45" t="s">
        <v>23</v>
      </c>
      <c r="C15" s="47"/>
      <c r="D15" s="47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9"/>
    </row>
    <row r="16" spans="2:25" ht="19" thickBot="1" x14ac:dyDescent="0.5">
      <c r="B16" s="202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4"/>
    </row>
    <row r="17" spans="2:25" ht="19" thickBot="1" x14ac:dyDescent="0.5">
      <c r="B17" s="45" t="s">
        <v>24</v>
      </c>
      <c r="C17" s="47"/>
      <c r="D17" s="47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9"/>
    </row>
    <row r="18" spans="2:25" ht="19" thickBot="1" x14ac:dyDescent="0.5">
      <c r="B18" s="202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4"/>
    </row>
    <row r="19" spans="2:25" ht="19" thickBot="1" x14ac:dyDescent="0.5">
      <c r="B19" s="45" t="s">
        <v>25</v>
      </c>
      <c r="C19" s="47"/>
      <c r="D19" s="47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9"/>
    </row>
    <row r="20" spans="2:25" ht="19" thickBot="1" x14ac:dyDescent="0.5">
      <c r="B20" s="199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1"/>
    </row>
    <row r="21" spans="2:25" ht="19" thickBot="1" x14ac:dyDescent="0.5">
      <c r="B21" s="46" t="s">
        <v>26</v>
      </c>
      <c r="C21" s="48"/>
      <c r="D21" s="4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9"/>
    </row>
    <row r="22" spans="2:25" ht="19" thickBot="1" x14ac:dyDescent="0.5">
      <c r="B22" s="199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1"/>
    </row>
    <row r="25" spans="2:25" x14ac:dyDescent="0.45">
      <c r="P25" s="35"/>
      <c r="S25" s="35"/>
      <c r="W25" s="35"/>
    </row>
    <row r="26" spans="2:25" x14ac:dyDescent="0.45">
      <c r="P26" s="35"/>
      <c r="S26" s="35"/>
      <c r="W26" s="35"/>
    </row>
  </sheetData>
  <mergeCells count="77">
    <mergeCell ref="V13:X13"/>
    <mergeCell ref="V8:X8"/>
    <mergeCell ref="V9:X9"/>
    <mergeCell ref="V10:X10"/>
    <mergeCell ref="V11:X11"/>
    <mergeCell ref="V12:X12"/>
    <mergeCell ref="V3:X3"/>
    <mergeCell ref="V4:X4"/>
    <mergeCell ref="V5:X5"/>
    <mergeCell ref="V6:X6"/>
    <mergeCell ref="V7:X7"/>
    <mergeCell ref="B3:D3"/>
    <mergeCell ref="F3:H3"/>
    <mergeCell ref="J3:L3"/>
    <mergeCell ref="N3:P3"/>
    <mergeCell ref="R3:T3"/>
    <mergeCell ref="B13:D13"/>
    <mergeCell ref="B5:D5"/>
    <mergeCell ref="B6:D6"/>
    <mergeCell ref="B7:D7"/>
    <mergeCell ref="B4:D4"/>
    <mergeCell ref="B8:D8"/>
    <mergeCell ref="B9:D9"/>
    <mergeCell ref="B10:D10"/>
    <mergeCell ref="B11:D11"/>
    <mergeCell ref="B12:D12"/>
    <mergeCell ref="F11:H11"/>
    <mergeCell ref="F12:H12"/>
    <mergeCell ref="F13:H13"/>
    <mergeCell ref="J4:L4"/>
    <mergeCell ref="J5:L5"/>
    <mergeCell ref="J6:L6"/>
    <mergeCell ref="J7:L7"/>
    <mergeCell ref="J8:L8"/>
    <mergeCell ref="F4:H4"/>
    <mergeCell ref="F5:H5"/>
    <mergeCell ref="F6:H6"/>
    <mergeCell ref="F7:H7"/>
    <mergeCell ref="F8:H8"/>
    <mergeCell ref="R8:T8"/>
    <mergeCell ref="N4:P4"/>
    <mergeCell ref="N5:P5"/>
    <mergeCell ref="N6:P6"/>
    <mergeCell ref="N7:P7"/>
    <mergeCell ref="N8:P8"/>
    <mergeCell ref="B22:Y22"/>
    <mergeCell ref="B16:Y16"/>
    <mergeCell ref="B18:Y18"/>
    <mergeCell ref="R10:T10"/>
    <mergeCell ref="R11:T11"/>
    <mergeCell ref="R12:T12"/>
    <mergeCell ref="R13:T13"/>
    <mergeCell ref="B20:Y20"/>
    <mergeCell ref="N10:P10"/>
    <mergeCell ref="N11:P11"/>
    <mergeCell ref="N12:P12"/>
    <mergeCell ref="N13:P13"/>
    <mergeCell ref="J10:L10"/>
    <mergeCell ref="J11:L11"/>
    <mergeCell ref="J12:L12"/>
    <mergeCell ref="J13:L13"/>
    <mergeCell ref="E15:Y15"/>
    <mergeCell ref="E17:Y17"/>
    <mergeCell ref="E19:Y19"/>
    <mergeCell ref="E21:Y21"/>
    <mergeCell ref="B1:D1"/>
    <mergeCell ref="F1:H1"/>
    <mergeCell ref="J1:L1"/>
    <mergeCell ref="N9:P9"/>
    <mergeCell ref="J9:L9"/>
    <mergeCell ref="F9:H9"/>
    <mergeCell ref="F10:H10"/>
    <mergeCell ref="R9:T9"/>
    <mergeCell ref="R4:T4"/>
    <mergeCell ref="R5:T5"/>
    <mergeCell ref="R6:T6"/>
    <mergeCell ref="R7:T7"/>
  </mergeCells>
  <pageMargins left="0.7" right="0.7" top="0.75" bottom="0.75" header="0.3" footer="0.3"/>
  <pageSetup paperSize="9" scale="55" orientation="landscape" errors="dash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N21"/>
  <sheetViews>
    <sheetView zoomScale="70" zoomScaleNormal="70" workbookViewId="0">
      <pane xSplit="5" topLeftCell="F1" activePane="topRight" state="frozen"/>
      <selection activeCell="P21" sqref="P21"/>
      <selection pane="topRight" activeCell="B5" sqref="B5:D7"/>
    </sheetView>
  </sheetViews>
  <sheetFormatPr defaultColWidth="8.81640625" defaultRowHeight="18.5" x14ac:dyDescent="0.35"/>
  <cols>
    <col min="1" max="1" width="10.81640625" style="71" customWidth="1"/>
    <col min="2" max="2" width="38.81640625" style="71" customWidth="1"/>
    <col min="3" max="3" width="50.1796875" style="71" bestFit="1" customWidth="1"/>
    <col min="4" max="4" width="8.81640625" style="71" customWidth="1"/>
    <col min="5" max="5" width="16.81640625" style="71" customWidth="1"/>
    <col min="6" max="6" width="8.81640625" style="71" customWidth="1"/>
    <col min="7" max="7" width="20.81640625" style="71" customWidth="1"/>
    <col min="8" max="8" width="8.81640625" style="71" customWidth="1"/>
    <col min="9" max="9" width="16.453125" style="71" customWidth="1"/>
    <col min="10" max="10" width="8.81640625" style="71"/>
    <col min="11" max="11" width="26.81640625" style="71" customWidth="1"/>
    <col min="12" max="12" width="8.81640625" style="71"/>
    <col min="13" max="13" width="18" style="71" bestFit="1" customWidth="1"/>
    <col min="14" max="14" width="18.1796875" style="71" customWidth="1"/>
    <col min="15" max="16384" width="8.81640625" style="71"/>
  </cols>
  <sheetData>
    <row r="1" spans="2:14" ht="24.75" customHeight="1" thickBot="1" x14ac:dyDescent="0.4">
      <c r="B1" s="236" t="s">
        <v>38</v>
      </c>
      <c r="C1" s="237"/>
      <c r="D1" s="128">
        <v>0.1</v>
      </c>
      <c r="E1" s="129"/>
      <c r="F1" s="128">
        <v>0.1</v>
      </c>
      <c r="G1" s="130"/>
      <c r="H1" s="128">
        <v>0.1</v>
      </c>
      <c r="I1" s="130"/>
      <c r="J1" s="128">
        <v>0.1</v>
      </c>
      <c r="K1" s="130"/>
      <c r="L1" s="128">
        <v>0.1</v>
      </c>
      <c r="M1" s="130"/>
      <c r="N1" s="131"/>
    </row>
    <row r="2" spans="2:14" ht="19" thickBot="1" x14ac:dyDescent="0.4">
      <c r="B2" s="132"/>
      <c r="N2" s="133"/>
    </row>
    <row r="3" spans="2:14" ht="39.75" customHeight="1" thickBot="1" x14ac:dyDescent="0.4">
      <c r="B3" s="149" t="s">
        <v>39</v>
      </c>
      <c r="C3" s="121" t="s">
        <v>40</v>
      </c>
      <c r="D3" s="124" t="s">
        <v>28</v>
      </c>
      <c r="E3" s="148" t="s">
        <v>58</v>
      </c>
      <c r="F3" s="124" t="s">
        <v>15</v>
      </c>
      <c r="G3" s="148" t="s">
        <v>58</v>
      </c>
      <c r="H3" s="124" t="s">
        <v>16</v>
      </c>
      <c r="I3" s="148" t="s">
        <v>58</v>
      </c>
      <c r="J3" s="124" t="s">
        <v>17</v>
      </c>
      <c r="K3" s="148" t="s">
        <v>58</v>
      </c>
      <c r="L3" s="124" t="s">
        <v>18</v>
      </c>
      <c r="M3" s="148" t="s">
        <v>58</v>
      </c>
      <c r="N3" s="124" t="s">
        <v>32</v>
      </c>
    </row>
    <row r="4" spans="2:14" x14ac:dyDescent="0.35">
      <c r="B4" s="49"/>
      <c r="C4" s="72"/>
      <c r="D4" s="74"/>
      <c r="E4" s="69"/>
      <c r="F4" s="74"/>
      <c r="G4" s="69"/>
      <c r="H4" s="74"/>
      <c r="I4" s="69"/>
      <c r="J4" s="74"/>
      <c r="K4" s="69"/>
      <c r="L4" s="74"/>
      <c r="M4" s="69"/>
      <c r="N4" s="125" t="e">
        <f>AVERAGE(F4,H4,J4,L4)</f>
        <v>#DIV/0!</v>
      </c>
    </row>
    <row r="5" spans="2:14" x14ac:dyDescent="0.35">
      <c r="B5" s="49"/>
      <c r="C5" s="72"/>
      <c r="D5" s="74"/>
      <c r="E5" s="69"/>
      <c r="F5" s="74"/>
      <c r="G5" s="69"/>
      <c r="H5" s="74"/>
      <c r="I5" s="69"/>
      <c r="J5" s="74"/>
      <c r="K5" s="69"/>
      <c r="L5" s="74"/>
      <c r="M5" s="69"/>
      <c r="N5" s="126" t="e">
        <f t="shared" ref="N5:N12" si="0">AVERAGE(F5,H5,J5,L5)</f>
        <v>#DIV/0!</v>
      </c>
    </row>
    <row r="6" spans="2:14" x14ac:dyDescent="0.35">
      <c r="B6" s="49"/>
      <c r="C6" s="72"/>
      <c r="D6" s="74"/>
      <c r="E6" s="69"/>
      <c r="F6" s="74"/>
      <c r="G6" s="69"/>
      <c r="H6" s="74"/>
      <c r="I6" s="69"/>
      <c r="J6" s="74"/>
      <c r="K6" s="69"/>
      <c r="L6" s="74"/>
      <c r="M6" s="69"/>
      <c r="N6" s="126" t="e">
        <f t="shared" si="0"/>
        <v>#DIV/0!</v>
      </c>
    </row>
    <row r="7" spans="2:14" x14ac:dyDescent="0.35">
      <c r="B7" s="49"/>
      <c r="C7" s="72"/>
      <c r="D7" s="74"/>
      <c r="E7" s="69"/>
      <c r="F7" s="74"/>
      <c r="G7" s="69"/>
      <c r="H7" s="74"/>
      <c r="I7" s="69"/>
      <c r="J7" s="74"/>
      <c r="K7" s="69"/>
      <c r="L7" s="74"/>
      <c r="M7" s="61"/>
      <c r="N7" s="126" t="e">
        <f t="shared" si="0"/>
        <v>#DIV/0!</v>
      </c>
    </row>
    <row r="8" spans="2:14" ht="39.75" customHeight="1" x14ac:dyDescent="0.35">
      <c r="B8" s="49"/>
      <c r="C8" s="72"/>
      <c r="D8" s="74"/>
      <c r="E8" s="177"/>
      <c r="F8" s="74"/>
      <c r="G8" s="177"/>
      <c r="H8" s="74"/>
      <c r="I8" s="69"/>
      <c r="J8" s="74"/>
      <c r="K8" s="69"/>
      <c r="L8" s="74"/>
      <c r="M8" s="69"/>
      <c r="N8" s="126" t="e">
        <f t="shared" si="0"/>
        <v>#DIV/0!</v>
      </c>
    </row>
    <row r="9" spans="2:14" ht="39.75" customHeight="1" x14ac:dyDescent="0.35">
      <c r="B9" s="49"/>
      <c r="C9" s="72"/>
      <c r="D9" s="74"/>
      <c r="E9" s="69"/>
      <c r="F9" s="74"/>
      <c r="G9" s="69"/>
      <c r="H9" s="74"/>
      <c r="I9" s="69"/>
      <c r="J9" s="74"/>
      <c r="K9" s="69"/>
      <c r="L9" s="74"/>
      <c r="M9" s="69"/>
      <c r="N9" s="126" t="e">
        <f t="shared" si="0"/>
        <v>#DIV/0!</v>
      </c>
    </row>
    <row r="10" spans="2:14" ht="39.75" customHeight="1" x14ac:dyDescent="0.35">
      <c r="B10" s="50"/>
      <c r="C10" s="72"/>
      <c r="D10" s="74"/>
      <c r="E10" s="69"/>
      <c r="F10" s="74"/>
      <c r="G10" s="69"/>
      <c r="H10" s="74"/>
      <c r="I10" s="69"/>
      <c r="J10" s="74"/>
      <c r="K10" s="69"/>
      <c r="L10" s="74"/>
      <c r="M10" s="69"/>
      <c r="N10" s="126" t="e">
        <f t="shared" si="0"/>
        <v>#DIV/0!</v>
      </c>
    </row>
    <row r="11" spans="2:14" ht="39.75" customHeight="1" x14ac:dyDescent="0.35">
      <c r="B11" s="50"/>
      <c r="C11" s="72"/>
      <c r="D11" s="74"/>
      <c r="E11" s="69"/>
      <c r="F11" s="74"/>
      <c r="G11" s="69"/>
      <c r="H11" s="74"/>
      <c r="I11" s="69"/>
      <c r="J11" s="74"/>
      <c r="K11" s="69"/>
      <c r="L11" s="74"/>
      <c r="M11" s="69"/>
      <c r="N11" s="126" t="e">
        <f t="shared" si="0"/>
        <v>#DIV/0!</v>
      </c>
    </row>
    <row r="12" spans="2:14" ht="39.75" customHeight="1" thickBot="1" x14ac:dyDescent="0.4">
      <c r="B12" s="75"/>
      <c r="C12" s="73"/>
      <c r="D12" s="76"/>
      <c r="E12" s="77"/>
      <c r="F12" s="76"/>
      <c r="G12" s="77"/>
      <c r="H12" s="76"/>
      <c r="I12" s="77"/>
      <c r="J12" s="76"/>
      <c r="K12" s="77"/>
      <c r="L12" s="76"/>
      <c r="M12" s="77"/>
      <c r="N12" s="127" t="e">
        <f t="shared" si="0"/>
        <v>#DIV/0!</v>
      </c>
    </row>
    <row r="13" spans="2:14" ht="41.25" customHeight="1" thickBot="1" x14ac:dyDescent="0.4">
      <c r="B13" s="120"/>
      <c r="C13" s="121" t="s">
        <v>41</v>
      </c>
      <c r="D13" s="122">
        <f>IF(SUM(D3:D12)=0,0,AVERAGE(D3:D12))</f>
        <v>0</v>
      </c>
      <c r="E13" s="123"/>
      <c r="F13" s="174">
        <f>IF(SUM(F3:F12)=0,0,AVERAGE(F3:F12))</f>
        <v>0</v>
      </c>
      <c r="G13" s="123"/>
      <c r="H13" s="122">
        <f>IF(SUM(H3:H12)=0,0,AVERAGE(H3:H12))</f>
        <v>0</v>
      </c>
      <c r="I13" s="123"/>
      <c r="J13" s="122">
        <f>IF(SUM(J3:J12)=0,0,AVERAGE(J3:J12))</f>
        <v>0</v>
      </c>
      <c r="K13" s="123"/>
      <c r="L13" s="122">
        <f>IF(SUM(L3:L12)=0,0,AVERAGE(L3:L12))</f>
        <v>0</v>
      </c>
      <c r="M13" s="123"/>
      <c r="N13" s="122"/>
    </row>
    <row r="21" spans="14:14" x14ac:dyDescent="0.35">
      <c r="N21" s="78"/>
    </row>
  </sheetData>
  <mergeCells count="1">
    <mergeCell ref="B1:C1"/>
  </mergeCells>
  <pageMargins left="0.7" right="0.7" top="0.75" bottom="0.75" header="0.3" footer="0.3"/>
  <pageSetup paperSize="9" scale="50" orientation="landscape" errors="dash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N26"/>
  <sheetViews>
    <sheetView topLeftCell="B1" zoomScale="70" zoomScaleNormal="70" workbookViewId="0">
      <selection activeCell="H1" sqref="H1"/>
    </sheetView>
  </sheetViews>
  <sheetFormatPr defaultColWidth="8.81640625" defaultRowHeight="18.5" x14ac:dyDescent="0.45"/>
  <cols>
    <col min="1" max="1" width="10.81640625" style="100" customWidth="1"/>
    <col min="2" max="2" width="36.81640625" style="100" customWidth="1"/>
    <col min="3" max="3" width="53.81640625" style="100" customWidth="1"/>
    <col min="4" max="4" width="8.81640625" style="100" customWidth="1"/>
    <col min="5" max="5" width="30.1796875" style="100" customWidth="1"/>
    <col min="6" max="6" width="8.81640625" style="100" customWidth="1"/>
    <col min="7" max="7" width="26.453125" style="100" customWidth="1"/>
    <col min="8" max="8" width="8.81640625" style="100" customWidth="1"/>
    <col min="9" max="9" width="18" style="100" customWidth="1"/>
    <col min="10" max="10" width="8.81640625" style="100"/>
    <col min="11" max="11" width="23.1796875" style="100" customWidth="1"/>
    <col min="12" max="12" width="8.81640625" style="100"/>
    <col min="13" max="13" width="31" style="100" customWidth="1"/>
    <col min="14" max="14" width="18.1796875" style="100" customWidth="1"/>
    <col min="15" max="16384" width="8.81640625" style="100"/>
  </cols>
  <sheetData>
    <row r="1" spans="2:14" x14ac:dyDescent="0.45">
      <c r="B1" s="236" t="s">
        <v>42</v>
      </c>
      <c r="C1" s="237"/>
      <c r="D1" s="134">
        <v>0.1</v>
      </c>
      <c r="E1" s="129"/>
      <c r="F1" s="134">
        <v>0.1</v>
      </c>
      <c r="G1" s="135"/>
      <c r="H1" s="134">
        <v>0.1</v>
      </c>
      <c r="I1" s="135"/>
      <c r="J1" s="134">
        <v>0.1</v>
      </c>
      <c r="K1" s="135"/>
      <c r="L1" s="134">
        <v>0.1</v>
      </c>
      <c r="M1" s="135"/>
      <c r="N1" s="136"/>
    </row>
    <row r="2" spans="2:14" x14ac:dyDescent="0.45">
      <c r="B2" s="137"/>
      <c r="N2" s="138"/>
    </row>
    <row r="3" spans="2:14" x14ac:dyDescent="0.45">
      <c r="B3" s="147" t="s">
        <v>43</v>
      </c>
      <c r="C3" s="102" t="s">
        <v>44</v>
      </c>
      <c r="D3" s="102" t="s">
        <v>28</v>
      </c>
      <c r="E3" s="102" t="s">
        <v>58</v>
      </c>
      <c r="F3" s="102" t="s">
        <v>15</v>
      </c>
      <c r="G3" s="102" t="s">
        <v>58</v>
      </c>
      <c r="H3" s="102" t="s">
        <v>16</v>
      </c>
      <c r="I3" s="102" t="s">
        <v>58</v>
      </c>
      <c r="J3" s="102" t="s">
        <v>17</v>
      </c>
      <c r="K3" s="102" t="s">
        <v>58</v>
      </c>
      <c r="L3" s="102" t="s">
        <v>18</v>
      </c>
      <c r="M3" s="102" t="s">
        <v>58</v>
      </c>
      <c r="N3" s="139" t="s">
        <v>32</v>
      </c>
    </row>
    <row r="4" spans="2:14" x14ac:dyDescent="0.45">
      <c r="B4" s="140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141" t="e">
        <f>AVERAGE(F4:L4)</f>
        <v>#DIV/0!</v>
      </c>
    </row>
    <row r="5" spans="2:14" ht="21" x14ac:dyDescent="0.45">
      <c r="B5" s="140"/>
      <c r="C5" s="107"/>
      <c r="D5" s="84"/>
      <c r="E5" s="84"/>
      <c r="F5" s="84"/>
      <c r="G5" s="84"/>
      <c r="H5" s="84"/>
      <c r="I5" s="84"/>
      <c r="J5" s="84"/>
      <c r="K5" s="84"/>
      <c r="L5" s="84"/>
      <c r="M5" s="84"/>
      <c r="N5" s="141" t="e">
        <f t="shared" ref="N5:N17" si="0">AVERAGE(F5:L5)</f>
        <v>#DIV/0!</v>
      </c>
    </row>
    <row r="6" spans="2:14" x14ac:dyDescent="0.45">
      <c r="B6" s="140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141" t="e">
        <f t="shared" si="0"/>
        <v>#DIV/0!</v>
      </c>
    </row>
    <row r="7" spans="2:14" x14ac:dyDescent="0.45">
      <c r="B7" s="140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141" t="e">
        <f t="shared" si="0"/>
        <v>#DIV/0!</v>
      </c>
    </row>
    <row r="8" spans="2:14" x14ac:dyDescent="0.45">
      <c r="B8" s="140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141" t="e">
        <f t="shared" si="0"/>
        <v>#DIV/0!</v>
      </c>
    </row>
    <row r="9" spans="2:14" x14ac:dyDescent="0.45">
      <c r="B9" s="140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141" t="e">
        <f t="shared" si="0"/>
        <v>#DIV/0!</v>
      </c>
    </row>
    <row r="10" spans="2:14" x14ac:dyDescent="0.45">
      <c r="B10" s="140"/>
      <c r="C10" s="84"/>
      <c r="D10" s="84"/>
      <c r="E10" s="84"/>
      <c r="F10" s="84"/>
      <c r="G10" s="84"/>
      <c r="H10" s="84"/>
      <c r="I10" s="85"/>
      <c r="J10" s="84"/>
      <c r="K10" s="84"/>
      <c r="L10" s="84"/>
      <c r="M10" s="84"/>
      <c r="N10" s="141" t="e">
        <f t="shared" si="0"/>
        <v>#DIV/0!</v>
      </c>
    </row>
    <row r="11" spans="2:14" x14ac:dyDescent="0.45">
      <c r="B11" s="14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141" t="e">
        <f t="shared" si="0"/>
        <v>#DIV/0!</v>
      </c>
    </row>
    <row r="12" spans="2:14" x14ac:dyDescent="0.45">
      <c r="B12" s="140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141" t="e">
        <f t="shared" si="0"/>
        <v>#DIV/0!</v>
      </c>
    </row>
    <row r="13" spans="2:14" x14ac:dyDescent="0.45">
      <c r="B13" s="140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141" t="e">
        <f t="shared" si="0"/>
        <v>#DIV/0!</v>
      </c>
    </row>
    <row r="14" spans="2:14" x14ac:dyDescent="0.45">
      <c r="B14" s="140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141" t="e">
        <f t="shared" si="0"/>
        <v>#DIV/0!</v>
      </c>
    </row>
    <row r="15" spans="2:14" x14ac:dyDescent="0.45">
      <c r="B15" s="142"/>
      <c r="C15" s="86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141" t="e">
        <f t="shared" si="0"/>
        <v>#DIV/0!</v>
      </c>
    </row>
    <row r="16" spans="2:14" x14ac:dyDescent="0.45">
      <c r="B16" s="142"/>
      <c r="C16" s="86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141" t="e">
        <f t="shared" si="0"/>
        <v>#DIV/0!</v>
      </c>
    </row>
    <row r="17" spans="2:14" x14ac:dyDescent="0.45">
      <c r="B17" s="142"/>
      <c r="C17" s="86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141" t="e">
        <f t="shared" si="0"/>
        <v>#DIV/0!</v>
      </c>
    </row>
    <row r="18" spans="2:14" ht="19" thickBot="1" x14ac:dyDescent="0.5">
      <c r="B18" s="143"/>
      <c r="C18" s="144" t="s">
        <v>41</v>
      </c>
      <c r="D18" s="145">
        <f>IF(SUM(D3:D17)=0,0,AVERAGE(D3:D17))</f>
        <v>0</v>
      </c>
      <c r="E18" s="145"/>
      <c r="F18" s="145">
        <f>IF(SUM(F3:F17)=0,0,AVERAGE(F3:F17))</f>
        <v>0</v>
      </c>
      <c r="G18" s="145"/>
      <c r="H18" s="145">
        <f>IF(SUM(H3:H17)=0,0,AVERAGE(H3:H17))</f>
        <v>0</v>
      </c>
      <c r="I18" s="145"/>
      <c r="J18" s="145">
        <f>IF(SUM(J3:J17)=0,0,AVERAGE(J3:J17))</f>
        <v>0</v>
      </c>
      <c r="K18" s="145"/>
      <c r="L18" s="145">
        <f>IF(SUM(L3:L17)=0,0,AVERAGE(L3:L17))</f>
        <v>0</v>
      </c>
      <c r="M18" s="145"/>
      <c r="N18" s="146"/>
    </row>
    <row r="26" spans="2:14" x14ac:dyDescent="0.45">
      <c r="N26" s="101"/>
    </row>
  </sheetData>
  <mergeCells count="1">
    <mergeCell ref="B1:C1"/>
  </mergeCells>
  <pageMargins left="0.7" right="0.7" top="0.75" bottom="0.75" header="0.3" footer="0.3"/>
  <pageSetup paperSize="9" scale="44" orientation="landscape" errors="dash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2:V22"/>
  <sheetViews>
    <sheetView zoomScale="60" zoomScaleNormal="60" zoomScaleSheetLayoutView="50" workbookViewId="0">
      <selection activeCell="C8" sqref="C8"/>
    </sheetView>
  </sheetViews>
  <sheetFormatPr defaultColWidth="8.81640625" defaultRowHeight="18.5" x14ac:dyDescent="0.45"/>
  <cols>
    <col min="1" max="1" width="8.81640625" style="34"/>
    <col min="2" max="2" width="9.453125" style="34" bestFit="1" customWidth="1"/>
    <col min="3" max="3" width="13.453125" style="34" bestFit="1" customWidth="1"/>
    <col min="4" max="4" width="28" style="44" bestFit="1" customWidth="1"/>
    <col min="5" max="5" width="15.54296875" style="40" bestFit="1" customWidth="1"/>
    <col min="6" max="6" width="8.81640625" style="34" bestFit="1" customWidth="1"/>
    <col min="7" max="7" width="19.81640625" style="34" bestFit="1" customWidth="1"/>
    <col min="8" max="8" width="6.1796875" style="34" bestFit="1" customWidth="1"/>
    <col min="9" max="9" width="19.81640625" style="34" bestFit="1" customWidth="1"/>
    <col min="10" max="10" width="6.1796875" style="34" bestFit="1" customWidth="1"/>
    <col min="11" max="11" width="19.81640625" style="34" bestFit="1" customWidth="1"/>
    <col min="12" max="12" width="11" style="34" customWidth="1"/>
    <col min="13" max="13" width="19.81640625" style="34" bestFit="1" customWidth="1"/>
    <col min="14" max="14" width="13.453125" style="35" bestFit="1" customWidth="1"/>
    <col min="15" max="15" width="13.453125" style="34" bestFit="1" customWidth="1"/>
    <col min="16" max="16384" width="8.81640625" style="34"/>
  </cols>
  <sheetData>
    <row r="2" spans="2:22" s="44" customFormat="1" ht="37" x14ac:dyDescent="0.35">
      <c r="B2" s="36" t="s">
        <v>27</v>
      </c>
      <c r="C2" s="51" t="e">
        <f>O7</f>
        <v>#DIV/0!</v>
      </c>
      <c r="D2" s="52" t="e">
        <f>C2/5/100%</f>
        <v>#DIV/0!</v>
      </c>
      <c r="E2" s="37" t="s">
        <v>61</v>
      </c>
      <c r="F2" s="36" t="s">
        <v>28</v>
      </c>
      <c r="G2" s="36" t="s">
        <v>62</v>
      </c>
      <c r="H2" s="36" t="s">
        <v>15</v>
      </c>
      <c r="I2" s="36" t="s">
        <v>63</v>
      </c>
      <c r="J2" s="36" t="s">
        <v>16</v>
      </c>
      <c r="K2" s="36" t="s">
        <v>64</v>
      </c>
      <c r="L2" s="36" t="s">
        <v>17</v>
      </c>
      <c r="M2" s="36" t="s">
        <v>65</v>
      </c>
      <c r="N2" s="36" t="s">
        <v>18</v>
      </c>
      <c r="O2" s="53" t="s">
        <v>59</v>
      </c>
      <c r="V2" s="54"/>
    </row>
    <row r="3" spans="2:22" s="43" customFormat="1" ht="26.25" customHeight="1" x14ac:dyDescent="0.35">
      <c r="D3" s="55" t="s">
        <v>34</v>
      </c>
      <c r="E3" s="38">
        <f>'Functional Dimension'!F10</f>
        <v>0.6</v>
      </c>
      <c r="F3" s="56">
        <f>IF(E3=0," ",Score!E3*'Functional Dimension'!F27)</f>
        <v>0</v>
      </c>
      <c r="G3" s="38">
        <f>'Functional Dimension'!I10</f>
        <v>0.6</v>
      </c>
      <c r="H3" s="57">
        <f>IF(G3=0," ",G3*'Functional Dimension'!I27)</f>
        <v>0</v>
      </c>
      <c r="I3" s="38">
        <f>'Functional Dimension'!L10</f>
        <v>0.6</v>
      </c>
      <c r="J3" s="57">
        <f>IF(I3=0," ",I3*'Functional Dimension'!L27)</f>
        <v>0</v>
      </c>
      <c r="K3" s="38">
        <f>'Functional Dimension'!O10</f>
        <v>0.6</v>
      </c>
      <c r="L3" s="57">
        <f>IF(K3=0," ",K3*'Functional Dimension'!O27)</f>
        <v>0</v>
      </c>
      <c r="M3" s="38">
        <f>'Functional Dimension'!R10</f>
        <v>0.6</v>
      </c>
      <c r="N3" s="39">
        <f>IF(M3=0," ",M3*'Functional Dimension'!R27)</f>
        <v>0</v>
      </c>
      <c r="O3" s="58">
        <f>AVERAGE(H3,J3,L3,N3)</f>
        <v>0</v>
      </c>
    </row>
    <row r="4" spans="2:22" s="43" customFormat="1" ht="26.25" customHeight="1" x14ac:dyDescent="0.35">
      <c r="D4" s="55" t="s">
        <v>35</v>
      </c>
      <c r="E4" s="38">
        <f>'Organizational Dimension'!E1</f>
        <v>0.2</v>
      </c>
      <c r="F4" s="56">
        <f>IF(E4=0," ",E4*'Organizational Dimension'!E14)</f>
        <v>0</v>
      </c>
      <c r="G4" s="38">
        <f>'Organizational Dimension'!I1</f>
        <v>0.2</v>
      </c>
      <c r="H4" s="57">
        <f>IF(G4=0," ",G4*'Organizational Dimension'!I14)</f>
        <v>0</v>
      </c>
      <c r="I4" s="38">
        <f>'Organizational Dimension'!M1</f>
        <v>0.2</v>
      </c>
      <c r="J4" s="57">
        <f>IF(I4=0," ",I4*'Organizational Dimension'!M14)</f>
        <v>0</v>
      </c>
      <c r="K4" s="38">
        <f>'Organizational Dimension'!Q1</f>
        <v>0.2</v>
      </c>
      <c r="L4" s="57">
        <f>IF(K4=0," ",K4*'Organizational Dimension'!Q14)</f>
        <v>0</v>
      </c>
      <c r="M4" s="38">
        <f>'Organizational Dimension'!U1</f>
        <v>0.2</v>
      </c>
      <c r="N4" s="39">
        <f>IF(M4=0," ",M4*'Organizational Dimension'!U14)</f>
        <v>0</v>
      </c>
      <c r="O4" s="58">
        <f t="shared" ref="O4:O6" si="0">AVERAGE(H4,J4,L4,N4)</f>
        <v>0</v>
      </c>
    </row>
    <row r="5" spans="2:22" s="43" customFormat="1" ht="26.25" customHeight="1" x14ac:dyDescent="0.35">
      <c r="D5" s="55" t="s">
        <v>36</v>
      </c>
      <c r="E5" s="38">
        <f>'Self Development'!D1</f>
        <v>0.1</v>
      </c>
      <c r="F5" s="56">
        <f>IF(E5=0," ",'Self Development'!D13*$E$5)</f>
        <v>0</v>
      </c>
      <c r="G5" s="38">
        <f>'Self Development'!F1</f>
        <v>0.1</v>
      </c>
      <c r="H5" s="59">
        <f>IF(G5=0," ",G5*'Self Development'!F13)</f>
        <v>0</v>
      </c>
      <c r="I5" s="38">
        <f>'Self Development'!H1</f>
        <v>0.1</v>
      </c>
      <c r="J5" s="59">
        <f>IF(I5=0," ",I5*'Self Development'!H13)</f>
        <v>0</v>
      </c>
      <c r="K5" s="38">
        <f>'Self Development'!J1</f>
        <v>0.1</v>
      </c>
      <c r="L5" s="59">
        <f>IF(K5=0," ",K5*'Self Development'!J13)</f>
        <v>0</v>
      </c>
      <c r="M5" s="38">
        <f>'Self Development'!L1</f>
        <v>0.1</v>
      </c>
      <c r="N5" s="39">
        <f>IF(M5=0," ",M5*'Self Development'!L13)</f>
        <v>0</v>
      </c>
      <c r="O5" s="58">
        <f t="shared" si="0"/>
        <v>0</v>
      </c>
    </row>
    <row r="6" spans="2:22" s="43" customFormat="1" ht="26.25" customHeight="1" x14ac:dyDescent="0.35">
      <c r="D6" s="55" t="s">
        <v>37</v>
      </c>
      <c r="E6" s="38">
        <f>'Developing Others'!D1</f>
        <v>0.1</v>
      </c>
      <c r="F6" s="56">
        <f>IF(E6=0," ",'Developing Others'!D18*Score!$E$6)</f>
        <v>0</v>
      </c>
      <c r="G6" s="38">
        <f>'Developing Others'!F1</f>
        <v>0.1</v>
      </c>
      <c r="H6" s="59">
        <f>IF(G6=0," ",G6*'Developing Others'!F18)</f>
        <v>0</v>
      </c>
      <c r="I6" s="38">
        <f>'Developing Others'!H1</f>
        <v>0.1</v>
      </c>
      <c r="J6" s="59">
        <f>IF(I6=0," ",I6*'Developing Others'!H18)</f>
        <v>0</v>
      </c>
      <c r="K6" s="38">
        <f>'Developing Others'!J1</f>
        <v>0.1</v>
      </c>
      <c r="L6" s="59">
        <f>IF(K6=0," ",K6*'Developing Others'!J18)</f>
        <v>0</v>
      </c>
      <c r="M6" s="38">
        <f>'Developing Others'!L1</f>
        <v>0.1</v>
      </c>
      <c r="N6" s="39">
        <f>IF(M6=0," ",M6*'Developing Others'!L18)</f>
        <v>0</v>
      </c>
      <c r="O6" s="58">
        <f t="shared" si="0"/>
        <v>0</v>
      </c>
    </row>
    <row r="7" spans="2:22" s="43" customFormat="1" ht="26.25" customHeight="1" x14ac:dyDescent="0.35">
      <c r="D7" s="36" t="s">
        <v>33</v>
      </c>
      <c r="E7" s="38">
        <f>SUM(E3:E6)</f>
        <v>1</v>
      </c>
      <c r="F7" s="60" t="str">
        <f>IF(SUM(F3:F6)=0," ",SUM(F3:F6))</f>
        <v xml:space="preserve"> </v>
      </c>
      <c r="G7" s="38">
        <f>SUM(G3:G6)</f>
        <v>1</v>
      </c>
      <c r="H7" s="60" t="str">
        <f>IF(SUM(H3:H6)=0," ",SUM(H3:H6))</f>
        <v xml:space="preserve"> </v>
      </c>
      <c r="I7" s="38">
        <f>SUM(I3:I6)</f>
        <v>1</v>
      </c>
      <c r="J7" s="60" t="str">
        <f>IF(SUM(J3:J6)=0," ",SUM(J3:J6))</f>
        <v xml:space="preserve"> </v>
      </c>
      <c r="K7" s="38">
        <f>SUM(K3:K6)</f>
        <v>1</v>
      </c>
      <c r="L7" s="60" t="str">
        <f>IF(SUM(L3:L6)=0," ",SUM(L3:L6))</f>
        <v xml:space="preserve"> </v>
      </c>
      <c r="M7" s="38">
        <f>SUM(M3:M6)</f>
        <v>1</v>
      </c>
      <c r="N7" s="60" t="str">
        <f>IF(SUM(N3:N6)=0," ",SUM(N3:N6))</f>
        <v xml:space="preserve"> </v>
      </c>
      <c r="O7" s="58" t="e">
        <f>AVERAGE(H7,J7,L7,N7)</f>
        <v>#DIV/0!</v>
      </c>
    </row>
    <row r="18" spans="14:15" x14ac:dyDescent="0.45">
      <c r="N18" s="34"/>
      <c r="O18" s="34">
        <v>2</v>
      </c>
    </row>
    <row r="19" spans="14:15" x14ac:dyDescent="0.45">
      <c r="N19" s="34"/>
      <c r="O19" s="34">
        <v>3.5</v>
      </c>
    </row>
    <row r="20" spans="14:15" x14ac:dyDescent="0.45">
      <c r="N20" s="34"/>
      <c r="O20" s="34">
        <v>3</v>
      </c>
    </row>
    <row r="21" spans="14:15" x14ac:dyDescent="0.45">
      <c r="N21" s="34"/>
      <c r="O21" s="34">
        <v>1</v>
      </c>
    </row>
    <row r="22" spans="14:15" x14ac:dyDescent="0.45">
      <c r="N22" s="70">
        <v>0.2</v>
      </c>
    </row>
  </sheetData>
  <sheetProtection password="E97F" sheet="1" objects="1" scenarios="1"/>
  <pageMargins left="0.7" right="0.7" top="0.75" bottom="0.75" header="0.3" footer="0.3"/>
  <pageSetup paperSize="9" scale="58" orientation="landscape" errors="dash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T76"/>
  <sheetViews>
    <sheetView topLeftCell="A59" workbookViewId="0">
      <selection activeCell="A66" sqref="A66:O66"/>
    </sheetView>
  </sheetViews>
  <sheetFormatPr defaultColWidth="4.1796875" defaultRowHeight="14.5" x14ac:dyDescent="0.35"/>
  <cols>
    <col min="12" max="12" width="5.1796875" bestFit="1" customWidth="1"/>
    <col min="13" max="14" width="4.1796875" customWidth="1"/>
    <col min="16" max="16" width="5.1796875" bestFit="1" customWidth="1"/>
    <col min="17" max="17" width="4.81640625" bestFit="1" customWidth="1"/>
    <col min="18" max="18" width="5.1796875" bestFit="1" customWidth="1"/>
    <col min="20" max="20" width="9.1796875" bestFit="1" customWidth="1"/>
  </cols>
  <sheetData>
    <row r="1" spans="1:20" ht="31.5" customHeight="1" x14ac:dyDescent="0.35">
      <c r="A1" s="251" t="str">
        <f>'Functional Dimension'!$C$2</f>
        <v>Client name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</row>
    <row r="2" spans="1:20" ht="23.25" customHeight="1" x14ac:dyDescent="0.35">
      <c r="A2" s="251">
        <f>'Functional Dimension'!$C$6</f>
        <v>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</row>
    <row r="3" spans="1:20" ht="15" thickBot="1" x14ac:dyDescent="0.4">
      <c r="A3" s="278" t="str">
        <f>'Functional Dimension'!$F$2</f>
        <v>Performance Review for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</row>
    <row r="4" spans="1:20" ht="20.25" customHeight="1" x14ac:dyDescent="0.35">
      <c r="A4" s="240" t="s">
        <v>0</v>
      </c>
      <c r="B4" s="238"/>
      <c r="C4" s="238"/>
      <c r="D4" s="238"/>
      <c r="E4" s="238"/>
      <c r="F4" s="238"/>
      <c r="G4" s="252">
        <f>'Functional Dimension'!E3</f>
        <v>0</v>
      </c>
      <c r="H4" s="252"/>
      <c r="I4" s="252"/>
      <c r="J4" s="252"/>
      <c r="K4" s="252"/>
      <c r="L4" s="238" t="s">
        <v>1</v>
      </c>
      <c r="M4" s="238"/>
      <c r="N4" s="238"/>
      <c r="O4" s="238"/>
      <c r="P4" s="238"/>
      <c r="Q4" s="252" t="s">
        <v>56</v>
      </c>
      <c r="R4" s="252"/>
      <c r="S4" s="252"/>
      <c r="T4" s="253"/>
    </row>
    <row r="5" spans="1:20" ht="20.25" customHeight="1" x14ac:dyDescent="0.35">
      <c r="A5" s="241" t="s">
        <v>45</v>
      </c>
      <c r="B5" s="239"/>
      <c r="C5" s="239"/>
      <c r="D5" s="239"/>
      <c r="E5" s="239"/>
      <c r="F5" s="239"/>
      <c r="G5" s="243"/>
      <c r="H5" s="243"/>
      <c r="I5" s="243"/>
      <c r="J5" s="243"/>
      <c r="K5" s="243"/>
      <c r="L5" s="239" t="s">
        <v>30</v>
      </c>
      <c r="M5" s="239"/>
      <c r="N5" s="239"/>
      <c r="O5" s="239"/>
      <c r="P5" s="239"/>
      <c r="Q5" s="243"/>
      <c r="R5" s="243"/>
      <c r="S5" s="243"/>
      <c r="T5" s="254"/>
    </row>
    <row r="6" spans="1:20" ht="38.25" customHeight="1" x14ac:dyDescent="0.35">
      <c r="A6" s="241" t="s">
        <v>2</v>
      </c>
      <c r="B6" s="239"/>
      <c r="C6" s="239"/>
      <c r="D6" s="239"/>
      <c r="E6" s="239"/>
      <c r="F6" s="239"/>
      <c r="G6" s="257">
        <f>'Functional Dimension'!E5</f>
        <v>0</v>
      </c>
      <c r="H6" s="258"/>
      <c r="I6" s="258"/>
      <c r="J6" s="258"/>
      <c r="K6" s="259"/>
      <c r="L6" s="239" t="s">
        <v>3</v>
      </c>
      <c r="M6" s="239"/>
      <c r="N6" s="239"/>
      <c r="O6" s="239"/>
      <c r="P6" s="239"/>
      <c r="Q6" s="243"/>
      <c r="R6" s="243"/>
      <c r="S6" s="243"/>
      <c r="T6" s="254"/>
    </row>
    <row r="7" spans="1:20" ht="20.25" customHeight="1" x14ac:dyDescent="0.35">
      <c r="A7" s="241" t="s">
        <v>4</v>
      </c>
      <c r="B7" s="239"/>
      <c r="C7" s="239"/>
      <c r="D7" s="239"/>
      <c r="E7" s="239"/>
      <c r="F7" s="239"/>
      <c r="G7" s="243">
        <f>'Functional Dimension'!E6</f>
        <v>0</v>
      </c>
      <c r="H7" s="243"/>
      <c r="I7" s="243"/>
      <c r="J7" s="243"/>
      <c r="K7" s="243"/>
      <c r="L7" s="239" t="s">
        <v>5</v>
      </c>
      <c r="M7" s="239"/>
      <c r="N7" s="239"/>
      <c r="O7" s="239"/>
      <c r="P7" s="239"/>
      <c r="Q7" s="243"/>
      <c r="R7" s="243"/>
      <c r="S7" s="243"/>
      <c r="T7" s="254"/>
    </row>
    <row r="8" spans="1:20" ht="20.25" customHeight="1" x14ac:dyDescent="0.35">
      <c r="A8" s="241" t="s">
        <v>46</v>
      </c>
      <c r="B8" s="239"/>
      <c r="C8" s="239"/>
      <c r="D8" s="239"/>
      <c r="E8" s="239"/>
      <c r="F8" s="239"/>
      <c r="G8" s="243"/>
      <c r="H8" s="243"/>
      <c r="I8" s="243"/>
      <c r="J8" s="243"/>
      <c r="K8" s="243"/>
      <c r="L8" s="239" t="s">
        <v>7</v>
      </c>
      <c r="M8" s="239"/>
      <c r="N8" s="239"/>
      <c r="O8" s="239"/>
      <c r="P8" s="239"/>
      <c r="Q8" s="243"/>
      <c r="R8" s="243"/>
      <c r="S8" s="243"/>
      <c r="T8" s="254"/>
    </row>
    <row r="9" spans="1:20" ht="20.25" customHeight="1" thickBot="1" x14ac:dyDescent="0.4">
      <c r="A9" s="256" t="s">
        <v>8</v>
      </c>
      <c r="B9" s="242"/>
      <c r="C9" s="242"/>
      <c r="D9" s="242"/>
      <c r="E9" s="242"/>
      <c r="F9" s="242"/>
      <c r="G9" s="244">
        <f>'Functional Dimension'!I3</f>
        <v>0</v>
      </c>
      <c r="H9" s="244"/>
      <c r="I9" s="244"/>
      <c r="J9" s="244"/>
      <c r="K9" s="244"/>
      <c r="L9" s="242" t="s">
        <v>9</v>
      </c>
      <c r="M9" s="242"/>
      <c r="N9" s="242"/>
      <c r="O9" s="242"/>
      <c r="P9" s="242"/>
      <c r="Q9" s="244"/>
      <c r="R9" s="244"/>
      <c r="S9" s="244"/>
      <c r="T9" s="255"/>
    </row>
    <row r="11" spans="1:20" ht="15" thickBot="1" x14ac:dyDescent="0.4">
      <c r="A11" s="4" t="s">
        <v>49</v>
      </c>
    </row>
    <row r="12" spans="1:20" x14ac:dyDescent="0.35">
      <c r="A12" s="249" t="s">
        <v>12</v>
      </c>
      <c r="B12" s="250"/>
      <c r="C12" s="250"/>
      <c r="D12" s="250"/>
      <c r="E12" s="250"/>
      <c r="F12" s="250"/>
      <c r="G12" s="250" t="s">
        <v>48</v>
      </c>
      <c r="H12" s="250"/>
      <c r="I12" s="250"/>
      <c r="J12" s="250"/>
      <c r="K12" s="250"/>
      <c r="L12" s="9" t="s">
        <v>14</v>
      </c>
      <c r="M12" s="9" t="s">
        <v>28</v>
      </c>
      <c r="N12" s="9" t="s">
        <v>14</v>
      </c>
      <c r="O12" s="9" t="s">
        <v>15</v>
      </c>
      <c r="P12" s="9" t="s">
        <v>14</v>
      </c>
      <c r="Q12" s="9" t="s">
        <v>16</v>
      </c>
      <c r="R12" s="9" t="s">
        <v>14</v>
      </c>
      <c r="S12" s="9" t="s">
        <v>17</v>
      </c>
      <c r="T12" s="10" t="s">
        <v>47</v>
      </c>
    </row>
    <row r="13" spans="1:20" x14ac:dyDescent="0.35">
      <c r="A13" s="245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11">
        <f>'Functional Dimension'!E13</f>
        <v>0</v>
      </c>
      <c r="M13" s="11"/>
      <c r="N13" s="11">
        <f>'Functional Dimension'!H13</f>
        <v>0</v>
      </c>
      <c r="O13" s="11"/>
      <c r="P13" s="11">
        <f>'Functional Dimension'!K13</f>
        <v>0</v>
      </c>
      <c r="Q13" s="12"/>
      <c r="R13" s="11">
        <f>'Functional Dimension'!N13</f>
        <v>0</v>
      </c>
      <c r="S13" s="11"/>
      <c r="T13" s="13" t="s">
        <v>27</v>
      </c>
    </row>
    <row r="14" spans="1:20" ht="69.75" customHeight="1" x14ac:dyDescent="0.35">
      <c r="A14" s="247" t="e">
        <f>IF('Functional Dimension'!#REF!=0,"",'Functional Dimension'!#REF!)</f>
        <v>#REF!</v>
      </c>
      <c r="B14" s="248"/>
      <c r="C14" s="248"/>
      <c r="D14" s="248"/>
      <c r="E14" s="248"/>
      <c r="F14" s="248"/>
      <c r="G14" s="248" t="e">
        <f>IF('Functional Dimension'!#REF!=0,"",'Functional Dimension'!#REF!)</f>
        <v>#REF!</v>
      </c>
      <c r="H14" s="248"/>
      <c r="I14" s="248"/>
      <c r="J14" s="248"/>
      <c r="K14" s="248"/>
      <c r="L14" s="20" t="e">
        <f>'Functional Dimension'!#REF!</f>
        <v>#REF!</v>
      </c>
      <c r="M14" s="21" t="e">
        <f>'Functional Dimension'!#REF!</f>
        <v>#REF!</v>
      </c>
      <c r="N14" s="20" t="e">
        <f>'Functional Dimension'!#REF!</f>
        <v>#REF!</v>
      </c>
      <c r="O14" s="21" t="e">
        <f>'Functional Dimension'!#REF!</f>
        <v>#REF!</v>
      </c>
      <c r="P14" s="20" t="e">
        <f>'Functional Dimension'!#REF!</f>
        <v>#REF!</v>
      </c>
      <c r="Q14" s="21" t="e">
        <f>'Functional Dimension'!#REF!</f>
        <v>#REF!</v>
      </c>
      <c r="R14" s="20" t="e">
        <f>'Functional Dimension'!#REF!</f>
        <v>#REF!</v>
      </c>
      <c r="S14" s="21" t="e">
        <f>'Functional Dimension'!#REF!</f>
        <v>#REF!</v>
      </c>
      <c r="T14" s="22"/>
    </row>
    <row r="15" spans="1:20" ht="82.5" customHeight="1" x14ac:dyDescent="0.35">
      <c r="A15" s="247" t="e">
        <f>IF('Functional Dimension'!#REF!=0,"",'Functional Dimension'!#REF!)</f>
        <v>#REF!</v>
      </c>
      <c r="B15" s="248"/>
      <c r="C15" s="248"/>
      <c r="D15" s="248"/>
      <c r="E15" s="248"/>
      <c r="F15" s="248"/>
      <c r="G15" s="248" t="e">
        <f>IF('Functional Dimension'!#REF!=0,"",'Functional Dimension'!#REF!)</f>
        <v>#REF!</v>
      </c>
      <c r="H15" s="248"/>
      <c r="I15" s="248"/>
      <c r="J15" s="248"/>
      <c r="K15" s="248"/>
      <c r="L15" s="20" t="e">
        <f>'Functional Dimension'!#REF!</f>
        <v>#REF!</v>
      </c>
      <c r="M15" s="21" t="e">
        <f>'Functional Dimension'!#REF!</f>
        <v>#REF!</v>
      </c>
      <c r="N15" s="20" t="e">
        <f>'Functional Dimension'!#REF!</f>
        <v>#REF!</v>
      </c>
      <c r="O15" s="21" t="e">
        <f>'Functional Dimension'!#REF!</f>
        <v>#REF!</v>
      </c>
      <c r="P15" s="20" t="e">
        <f>'Functional Dimension'!#REF!</f>
        <v>#REF!</v>
      </c>
      <c r="Q15" s="21" t="e">
        <f>'Functional Dimension'!#REF!</f>
        <v>#REF!</v>
      </c>
      <c r="R15" s="20" t="e">
        <f>'Functional Dimension'!#REF!</f>
        <v>#REF!</v>
      </c>
      <c r="S15" s="21" t="e">
        <f>'Functional Dimension'!#REF!</f>
        <v>#REF!</v>
      </c>
      <c r="T15" s="22"/>
    </row>
    <row r="16" spans="1:20" ht="69.75" customHeight="1" x14ac:dyDescent="0.35">
      <c r="A16" s="247" t="e">
        <f>IF('Functional Dimension'!#REF!=0,"",'Functional Dimension'!#REF!)</f>
        <v>#REF!</v>
      </c>
      <c r="B16" s="248"/>
      <c r="C16" s="248"/>
      <c r="D16" s="248"/>
      <c r="E16" s="248"/>
      <c r="F16" s="248"/>
      <c r="G16" s="248" t="e">
        <f>IF('Functional Dimension'!#REF!=0,"",'Functional Dimension'!#REF!)</f>
        <v>#REF!</v>
      </c>
      <c r="H16" s="248"/>
      <c r="I16" s="248"/>
      <c r="J16" s="248"/>
      <c r="K16" s="248"/>
      <c r="L16" s="20" t="e">
        <f>'Functional Dimension'!#REF!</f>
        <v>#REF!</v>
      </c>
      <c r="M16" s="21" t="e">
        <f>'Functional Dimension'!#REF!</f>
        <v>#REF!</v>
      </c>
      <c r="N16" s="20">
        <f>'Functional Dimension'!H14</f>
        <v>0</v>
      </c>
      <c r="O16" s="21">
        <f>'Functional Dimension'!I14</f>
        <v>0</v>
      </c>
      <c r="P16" s="20">
        <f>'Functional Dimension'!K14</f>
        <v>0</v>
      </c>
      <c r="Q16" s="21">
        <f>'Functional Dimension'!L14</f>
        <v>0</v>
      </c>
      <c r="R16" s="20">
        <f>'Functional Dimension'!N14</f>
        <v>0</v>
      </c>
      <c r="S16" s="21">
        <f>'Functional Dimension'!O14</f>
        <v>0</v>
      </c>
      <c r="T16" s="22"/>
    </row>
    <row r="17" spans="1:20" ht="69.75" customHeight="1" x14ac:dyDescent="0.35">
      <c r="A17" s="247" t="e">
        <f>IF('Functional Dimension'!#REF!=0,"",'Functional Dimension'!#REF!)</f>
        <v>#REF!</v>
      </c>
      <c r="B17" s="248"/>
      <c r="C17" s="248"/>
      <c r="D17" s="248"/>
      <c r="E17" s="248"/>
      <c r="F17" s="248"/>
      <c r="G17" s="248" t="str">
        <f>IF('Functional Dimension'!C15=0,"",'Functional Dimension'!C15)</f>
        <v/>
      </c>
      <c r="H17" s="248"/>
      <c r="I17" s="248"/>
      <c r="J17" s="248"/>
      <c r="K17" s="248"/>
      <c r="L17" s="20">
        <f>'Functional Dimension'!E15</f>
        <v>0</v>
      </c>
      <c r="M17" s="21">
        <f>'Functional Dimension'!F15</f>
        <v>0</v>
      </c>
      <c r="N17" s="20">
        <f>'Functional Dimension'!H15</f>
        <v>0</v>
      </c>
      <c r="O17" s="21">
        <f>'Functional Dimension'!I15</f>
        <v>0</v>
      </c>
      <c r="P17" s="20">
        <f>'Functional Dimension'!K15</f>
        <v>0</v>
      </c>
      <c r="Q17" s="21">
        <f>'Functional Dimension'!L15</f>
        <v>0</v>
      </c>
      <c r="R17" s="20">
        <f>'Functional Dimension'!N15</f>
        <v>0</v>
      </c>
      <c r="S17" s="21">
        <f>'Functional Dimension'!O15</f>
        <v>0</v>
      </c>
      <c r="T17" s="22"/>
    </row>
    <row r="18" spans="1:20" ht="69.75" customHeight="1" x14ac:dyDescent="0.35">
      <c r="A18" s="247" t="str">
        <f>IF('Functional Dimension'!B16=0,"",'Functional Dimension'!B16)</f>
        <v/>
      </c>
      <c r="B18" s="248"/>
      <c r="C18" s="248"/>
      <c r="D18" s="248"/>
      <c r="E18" s="248"/>
      <c r="F18" s="248"/>
      <c r="G18" s="248" t="str">
        <f>IF('Functional Dimension'!C16=0,"",'Functional Dimension'!C16)</f>
        <v/>
      </c>
      <c r="H18" s="248"/>
      <c r="I18" s="248"/>
      <c r="J18" s="248"/>
      <c r="K18" s="248"/>
      <c r="L18" s="20">
        <f>'Functional Dimension'!E16</f>
        <v>0</v>
      </c>
      <c r="M18" s="21">
        <f>'Functional Dimension'!F16</f>
        <v>0</v>
      </c>
      <c r="N18" s="20">
        <f>'Functional Dimension'!H16</f>
        <v>0</v>
      </c>
      <c r="O18" s="21">
        <f>'Functional Dimension'!I16</f>
        <v>0</v>
      </c>
      <c r="P18" s="20">
        <f>'Functional Dimension'!K16</f>
        <v>0</v>
      </c>
      <c r="Q18" s="21">
        <f>'Functional Dimension'!L16</f>
        <v>0</v>
      </c>
      <c r="R18" s="20">
        <f>'Functional Dimension'!N16</f>
        <v>0</v>
      </c>
      <c r="S18" s="21">
        <f>'Functional Dimension'!O16</f>
        <v>0</v>
      </c>
      <c r="T18" s="22"/>
    </row>
    <row r="19" spans="1:20" ht="69.75" customHeight="1" x14ac:dyDescent="0.35">
      <c r="A19" s="247" t="e">
        <f>IF('Functional Dimension'!#REF!=0,"",'Functional Dimension'!#REF!)</f>
        <v>#REF!</v>
      </c>
      <c r="B19" s="248"/>
      <c r="C19" s="248"/>
      <c r="D19" s="248"/>
      <c r="E19" s="248"/>
      <c r="F19" s="248"/>
      <c r="G19" s="248" t="e">
        <f>IF('Functional Dimension'!#REF!=0,"",'Functional Dimension'!#REF!)</f>
        <v>#REF!</v>
      </c>
      <c r="H19" s="248"/>
      <c r="I19" s="248"/>
      <c r="J19" s="248"/>
      <c r="K19" s="248"/>
      <c r="L19" s="20" t="e">
        <f>'Functional Dimension'!#REF!</f>
        <v>#REF!</v>
      </c>
      <c r="M19" s="21" t="e">
        <f>'Functional Dimension'!#REF!</f>
        <v>#REF!</v>
      </c>
      <c r="N19" s="20">
        <f>'Functional Dimension'!H17</f>
        <v>0</v>
      </c>
      <c r="O19" s="21">
        <f>'Functional Dimension'!I17</f>
        <v>0</v>
      </c>
      <c r="P19" s="20">
        <f>'Functional Dimension'!K17</f>
        <v>0</v>
      </c>
      <c r="Q19" s="21">
        <f>'Functional Dimension'!L17</f>
        <v>0</v>
      </c>
      <c r="R19" s="20">
        <f>'Functional Dimension'!N17</f>
        <v>0</v>
      </c>
      <c r="S19" s="21">
        <f>'Functional Dimension'!O17</f>
        <v>0</v>
      </c>
      <c r="T19" s="22"/>
    </row>
    <row r="20" spans="1:20" ht="96.75" customHeight="1" x14ac:dyDescent="0.35">
      <c r="A20" s="247" t="e">
        <f>IF('Functional Dimension'!#REF!=0,"",'Functional Dimension'!#REF!)</f>
        <v>#REF!</v>
      </c>
      <c r="B20" s="248"/>
      <c r="C20" s="248"/>
      <c r="D20" s="248"/>
      <c r="E20" s="248"/>
      <c r="F20" s="248"/>
      <c r="G20" s="248" t="e">
        <f>IF('Functional Dimension'!#REF!=0,"",'Functional Dimension'!#REF!)</f>
        <v>#REF!</v>
      </c>
      <c r="H20" s="248"/>
      <c r="I20" s="248"/>
      <c r="J20" s="248"/>
      <c r="K20" s="248"/>
      <c r="L20" s="20" t="e">
        <f>'Functional Dimension'!#REF!</f>
        <v>#REF!</v>
      </c>
      <c r="M20" s="21" t="e">
        <f>'Functional Dimension'!#REF!</f>
        <v>#REF!</v>
      </c>
      <c r="N20" s="20">
        <f>'Functional Dimension'!H18</f>
        <v>0</v>
      </c>
      <c r="O20" s="21">
        <f>'Functional Dimension'!I18</f>
        <v>0</v>
      </c>
      <c r="P20" s="20">
        <f>'Functional Dimension'!K18</f>
        <v>0</v>
      </c>
      <c r="Q20" s="21">
        <f>'Functional Dimension'!L18</f>
        <v>0</v>
      </c>
      <c r="R20" s="20">
        <f>'Functional Dimension'!N18</f>
        <v>0</v>
      </c>
      <c r="S20" s="21">
        <f>'Functional Dimension'!O18</f>
        <v>0</v>
      </c>
      <c r="T20" s="22"/>
    </row>
    <row r="21" spans="1:20" ht="97.5" customHeight="1" x14ac:dyDescent="0.35">
      <c r="A21" s="247" t="str">
        <f>IF('Functional Dimension'!B14=0,"",'Functional Dimension'!B14)</f>
        <v/>
      </c>
      <c r="B21" s="248"/>
      <c r="C21" s="248"/>
      <c r="D21" s="248"/>
      <c r="E21" s="248"/>
      <c r="F21" s="248"/>
      <c r="G21" s="248" t="str">
        <f>IF('Functional Dimension'!C14=0,"",'Functional Dimension'!C14)</f>
        <v/>
      </c>
      <c r="H21" s="248"/>
      <c r="I21" s="248"/>
      <c r="J21" s="248"/>
      <c r="K21" s="248"/>
      <c r="L21" s="20">
        <f>'Functional Dimension'!E14</f>
        <v>0</v>
      </c>
      <c r="M21" s="21">
        <f>'Functional Dimension'!F14</f>
        <v>0</v>
      </c>
      <c r="N21" s="20">
        <f>'Functional Dimension'!H19</f>
        <v>0</v>
      </c>
      <c r="O21" s="21">
        <f>'Functional Dimension'!I19</f>
        <v>0</v>
      </c>
      <c r="P21" s="20">
        <f>'Functional Dimension'!K19</f>
        <v>0</v>
      </c>
      <c r="Q21" s="21">
        <f>'Functional Dimension'!L19</f>
        <v>0</v>
      </c>
      <c r="R21" s="20">
        <f>'Functional Dimension'!N19</f>
        <v>0</v>
      </c>
      <c r="S21" s="21">
        <f>'Functional Dimension'!O19</f>
        <v>0</v>
      </c>
      <c r="T21" s="22"/>
    </row>
    <row r="22" spans="1:20" ht="102" customHeight="1" x14ac:dyDescent="0.35">
      <c r="A22" s="247" t="str">
        <f>IF('Functional Dimension'!B26=0,"",'Functional Dimension'!B26)</f>
        <v/>
      </c>
      <c r="B22" s="248"/>
      <c r="C22" s="248"/>
      <c r="D22" s="248"/>
      <c r="E22" s="248"/>
      <c r="F22" s="248"/>
      <c r="G22" s="248" t="str">
        <f>IF('Functional Dimension'!C26=0,"",'Functional Dimension'!C26)</f>
        <v/>
      </c>
      <c r="H22" s="248"/>
      <c r="I22" s="248"/>
      <c r="J22" s="248"/>
      <c r="K22" s="248"/>
      <c r="L22" s="20">
        <f>'Functional Dimension'!E26</f>
        <v>0</v>
      </c>
      <c r="M22" s="21">
        <f>'Functional Dimension'!F26</f>
        <v>0</v>
      </c>
      <c r="N22" s="20">
        <f>'Functional Dimension'!H26</f>
        <v>0</v>
      </c>
      <c r="O22" s="21">
        <f>'Functional Dimension'!I26</f>
        <v>0</v>
      </c>
      <c r="P22" s="20">
        <f>'Functional Dimension'!K26</f>
        <v>0</v>
      </c>
      <c r="Q22" s="21">
        <f>'Functional Dimension'!L26</f>
        <v>0</v>
      </c>
      <c r="R22" s="20">
        <f>'Functional Dimension'!N26</f>
        <v>0</v>
      </c>
      <c r="S22" s="21">
        <f>'Functional Dimension'!O26</f>
        <v>0</v>
      </c>
      <c r="T22" s="22"/>
    </row>
    <row r="23" spans="1:20" ht="69.75" customHeight="1" x14ac:dyDescent="0.35">
      <c r="A23" s="247" t="e">
        <f>IF('Functional Dimension'!#REF!=0,"",'Functional Dimension'!#REF!)</f>
        <v>#REF!</v>
      </c>
      <c r="B23" s="248"/>
      <c r="C23" s="248"/>
      <c r="D23" s="248"/>
      <c r="E23" s="248"/>
      <c r="F23" s="248"/>
      <c r="G23" s="248" t="e">
        <f>IF('Functional Dimension'!#REF!=0,"",'Functional Dimension'!#REF!)</f>
        <v>#REF!</v>
      </c>
      <c r="H23" s="248"/>
      <c r="I23" s="248"/>
      <c r="J23" s="248"/>
      <c r="K23" s="248"/>
      <c r="L23" s="20" t="e">
        <f>'Functional Dimension'!#REF!</f>
        <v>#REF!</v>
      </c>
      <c r="M23" s="21" t="e">
        <f>'Functional Dimension'!#REF!</f>
        <v>#REF!</v>
      </c>
      <c r="N23" s="20" t="e">
        <f>'Functional Dimension'!#REF!</f>
        <v>#REF!</v>
      </c>
      <c r="O23" s="21" t="e">
        <f>'Functional Dimension'!#REF!</f>
        <v>#REF!</v>
      </c>
      <c r="P23" s="20" t="e">
        <f>'Functional Dimension'!#REF!</f>
        <v>#REF!</v>
      </c>
      <c r="Q23" s="21" t="e">
        <f>'Functional Dimension'!#REF!</f>
        <v>#REF!</v>
      </c>
      <c r="R23" s="20" t="e">
        <f>'Functional Dimension'!#REF!</f>
        <v>#REF!</v>
      </c>
      <c r="S23" s="21" t="e">
        <f>'Functional Dimension'!#REF!</f>
        <v>#REF!</v>
      </c>
      <c r="T23" s="22"/>
    </row>
    <row r="24" spans="1:20" ht="69.75" customHeight="1" x14ac:dyDescent="0.35">
      <c r="A24" s="245" t="e">
        <f>IF('Functional Dimension'!#REF!=0,"",'Functional Dimension'!#REF!)</f>
        <v>#REF!</v>
      </c>
      <c r="B24" s="246"/>
      <c r="C24" s="246"/>
      <c r="D24" s="246"/>
      <c r="E24" s="246"/>
      <c r="F24" s="246"/>
      <c r="G24" s="246" t="e">
        <f>IF('Functional Dimension'!#REF!=0,"",'Functional Dimension'!#REF!)</f>
        <v>#REF!</v>
      </c>
      <c r="H24" s="246"/>
      <c r="I24" s="246"/>
      <c r="J24" s="246"/>
      <c r="K24" s="246"/>
      <c r="L24" s="20" t="e">
        <f>'Functional Dimension'!#REF!</f>
        <v>#REF!</v>
      </c>
      <c r="M24" s="21" t="e">
        <f>'Functional Dimension'!#REF!</f>
        <v>#REF!</v>
      </c>
      <c r="N24" s="20" t="e">
        <f>'Functional Dimension'!#REF!</f>
        <v>#REF!</v>
      </c>
      <c r="O24" s="21" t="e">
        <f>'Functional Dimension'!#REF!</f>
        <v>#REF!</v>
      </c>
      <c r="P24" s="20" t="e">
        <f>'Functional Dimension'!#REF!</f>
        <v>#REF!</v>
      </c>
      <c r="Q24" s="21" t="e">
        <f>'Functional Dimension'!#REF!</f>
        <v>#REF!</v>
      </c>
      <c r="R24" s="20" t="e">
        <f>'Functional Dimension'!#REF!</f>
        <v>#REF!</v>
      </c>
      <c r="S24" s="21" t="e">
        <f>'Functional Dimension'!#REF!</f>
        <v>#REF!</v>
      </c>
      <c r="T24" s="22"/>
    </row>
    <row r="25" spans="1:20" ht="31.5" customHeight="1" thickBot="1" x14ac:dyDescent="0.4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17">
        <f>'Functional Dimension'!F27</f>
        <v>0</v>
      </c>
      <c r="N25" s="16"/>
      <c r="O25" s="17">
        <f>'Functional Dimension'!I27</f>
        <v>0</v>
      </c>
      <c r="P25" s="16"/>
      <c r="Q25" s="17">
        <f>'Functional Dimension'!L27</f>
        <v>0</v>
      </c>
      <c r="R25" s="16"/>
      <c r="S25" s="17">
        <f>'Functional Dimension'!O27</f>
        <v>0</v>
      </c>
      <c r="T25" s="18">
        <f>AVERAGE(O25,Q25,S25)</f>
        <v>0</v>
      </c>
    </row>
    <row r="26" spans="1:20" ht="31.5" hidden="1" customHeight="1" x14ac:dyDescent="0.35">
      <c r="L26" s="1"/>
      <c r="M26" s="2" t="str">
        <f>IF(M25=0,"",M25)</f>
        <v/>
      </c>
      <c r="N26" s="5"/>
      <c r="O26" s="6" t="str">
        <f>'Functional Dimension'!I28</f>
        <v/>
      </c>
      <c r="P26" s="7"/>
      <c r="Q26" s="6" t="str">
        <f>'Functional Dimension'!L28</f>
        <v xml:space="preserve"> </v>
      </c>
      <c r="R26" s="8"/>
      <c r="S26" s="6" t="str">
        <f>'Functional Dimension'!O28</f>
        <v/>
      </c>
      <c r="T26" s="1"/>
    </row>
    <row r="27" spans="1:20" ht="15" thickBot="1" x14ac:dyDescent="0.4">
      <c r="A27" s="4" t="s">
        <v>50</v>
      </c>
    </row>
    <row r="28" spans="1:20" x14ac:dyDescent="0.35">
      <c r="A28" s="240" t="s">
        <v>21</v>
      </c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9" t="s">
        <v>28</v>
      </c>
      <c r="Q28" s="9" t="s">
        <v>15</v>
      </c>
      <c r="R28" s="9" t="s">
        <v>16</v>
      </c>
      <c r="S28" s="9" t="s">
        <v>17</v>
      </c>
      <c r="T28" s="10" t="s">
        <v>47</v>
      </c>
    </row>
    <row r="29" spans="1:20" x14ac:dyDescent="0.35">
      <c r="A29" s="245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19"/>
      <c r="Q29" s="19"/>
      <c r="R29" s="19"/>
      <c r="S29" s="19"/>
      <c r="T29" s="13" t="s">
        <v>27</v>
      </c>
    </row>
    <row r="30" spans="1:20" ht="57" customHeight="1" x14ac:dyDescent="0.35">
      <c r="A30" s="245" t="str">
        <f>IF('Organizational Dimension'!B4=0,"",'Organizational Dimension'!B4)</f>
        <v/>
      </c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3">
        <f>'Organizational Dimension'!E4</f>
        <v>0</v>
      </c>
      <c r="Q30" s="3">
        <f>'Organizational Dimension'!I4</f>
        <v>0</v>
      </c>
      <c r="R30" s="3">
        <f>'Organizational Dimension'!M4</f>
        <v>0</v>
      </c>
      <c r="S30" s="3">
        <f>'Organizational Dimension'!Q4</f>
        <v>0</v>
      </c>
      <c r="T30" s="23" t="e">
        <f>'Organizational Dimension'!Y4</f>
        <v>#DIV/0!</v>
      </c>
    </row>
    <row r="31" spans="1:20" ht="57" customHeight="1" x14ac:dyDescent="0.35">
      <c r="A31" s="245" t="str">
        <f>IF('Organizational Dimension'!B5=0,"",'Organizational Dimension'!B5)</f>
        <v/>
      </c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3">
        <f>'Organizational Dimension'!E5</f>
        <v>0</v>
      </c>
      <c r="Q31" s="3">
        <f>'Organizational Dimension'!I5</f>
        <v>0</v>
      </c>
      <c r="R31" s="3">
        <f>'Organizational Dimension'!M5</f>
        <v>0</v>
      </c>
      <c r="S31" s="3">
        <f>'Organizational Dimension'!Q5</f>
        <v>0</v>
      </c>
      <c r="T31" s="23" t="e">
        <f>'Organizational Dimension'!Y5</f>
        <v>#DIV/0!</v>
      </c>
    </row>
    <row r="32" spans="1:20" ht="57" customHeight="1" x14ac:dyDescent="0.35">
      <c r="A32" s="245" t="str">
        <f>IF('Organizational Dimension'!B6=0,"",'Organizational Dimension'!B6)</f>
        <v/>
      </c>
      <c r="B32" s="246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3">
        <f>'Organizational Dimension'!E6</f>
        <v>0</v>
      </c>
      <c r="Q32" s="3">
        <f>'Organizational Dimension'!I6</f>
        <v>0</v>
      </c>
      <c r="R32" s="3">
        <f>'Organizational Dimension'!M6</f>
        <v>0</v>
      </c>
      <c r="S32" s="3">
        <f>'Organizational Dimension'!Q6</f>
        <v>0</v>
      </c>
      <c r="T32" s="23" t="e">
        <f>'Organizational Dimension'!Y6</f>
        <v>#DIV/0!</v>
      </c>
    </row>
    <row r="33" spans="1:20" ht="57" customHeight="1" x14ac:dyDescent="0.35">
      <c r="A33" s="245" t="str">
        <f>IF('Organizational Dimension'!B7=0,"",'Organizational Dimension'!B7)</f>
        <v/>
      </c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3">
        <f>'Organizational Dimension'!E7</f>
        <v>0</v>
      </c>
      <c r="Q33" s="3">
        <f>'Organizational Dimension'!I7</f>
        <v>0</v>
      </c>
      <c r="R33" s="3">
        <f>'Organizational Dimension'!M7</f>
        <v>0</v>
      </c>
      <c r="S33" s="3">
        <f>'Organizational Dimension'!Q7</f>
        <v>0</v>
      </c>
      <c r="T33" s="23" t="e">
        <f>'Organizational Dimension'!Y7</f>
        <v>#DIV/0!</v>
      </c>
    </row>
    <row r="34" spans="1:20" ht="57" customHeight="1" x14ac:dyDescent="0.35">
      <c r="A34" s="245" t="str">
        <f>IF('Organizational Dimension'!B8=0,"",'Organizational Dimension'!B8)</f>
        <v/>
      </c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3">
        <f>'Organizational Dimension'!E8</f>
        <v>0</v>
      </c>
      <c r="Q34" s="3">
        <f>'Organizational Dimension'!I8</f>
        <v>0</v>
      </c>
      <c r="R34" s="3">
        <f>'Organizational Dimension'!M8</f>
        <v>0</v>
      </c>
      <c r="S34" s="3">
        <f>'Organizational Dimension'!Q8</f>
        <v>0</v>
      </c>
      <c r="T34" s="23" t="e">
        <f>'Organizational Dimension'!Y8</f>
        <v>#DIV/0!</v>
      </c>
    </row>
    <row r="35" spans="1:20" ht="57" customHeight="1" x14ac:dyDescent="0.35">
      <c r="A35" s="245" t="str">
        <f>IF('Organizational Dimension'!B9=0,"",'Organizational Dimension'!B9)</f>
        <v/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3">
        <f>'Organizational Dimension'!E9</f>
        <v>0</v>
      </c>
      <c r="Q35" s="3">
        <f>'Organizational Dimension'!I9</f>
        <v>0</v>
      </c>
      <c r="R35" s="3">
        <f>'Organizational Dimension'!M9</f>
        <v>0</v>
      </c>
      <c r="S35" s="3">
        <f>'Organizational Dimension'!Q9</f>
        <v>0</v>
      </c>
      <c r="T35" s="23" t="e">
        <f>'Organizational Dimension'!Y9</f>
        <v>#DIV/0!</v>
      </c>
    </row>
    <row r="36" spans="1:20" ht="57" customHeight="1" x14ac:dyDescent="0.35">
      <c r="A36" s="245" t="str">
        <f>IF('Organizational Dimension'!B10=0,"",'Organizational Dimension'!B10)</f>
        <v/>
      </c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3">
        <f>'Organizational Dimension'!E10</f>
        <v>0</v>
      </c>
      <c r="Q36" s="3">
        <f>'Organizational Dimension'!I10</f>
        <v>0</v>
      </c>
      <c r="R36" s="3">
        <f>'Organizational Dimension'!M10</f>
        <v>0</v>
      </c>
      <c r="S36" s="3">
        <f>'Organizational Dimension'!Q10</f>
        <v>0</v>
      </c>
      <c r="T36" s="23" t="e">
        <f>'Organizational Dimension'!Y10</f>
        <v>#DIV/0!</v>
      </c>
    </row>
    <row r="37" spans="1:20" ht="57" customHeight="1" x14ac:dyDescent="0.35">
      <c r="A37" s="245" t="str">
        <f>IF('Organizational Dimension'!B11=0,"",'Organizational Dimension'!B11)</f>
        <v/>
      </c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3">
        <f>'Organizational Dimension'!E11</f>
        <v>0</v>
      </c>
      <c r="Q37" s="3">
        <f>'Organizational Dimension'!I11</f>
        <v>0</v>
      </c>
      <c r="R37" s="3">
        <f>'Organizational Dimension'!M11</f>
        <v>0</v>
      </c>
      <c r="S37" s="3">
        <f>'Organizational Dimension'!Q11</f>
        <v>0</v>
      </c>
      <c r="T37" s="23" t="e">
        <f>'Organizational Dimension'!Y11</f>
        <v>#DIV/0!</v>
      </c>
    </row>
    <row r="38" spans="1:20" ht="57" customHeight="1" x14ac:dyDescent="0.35">
      <c r="A38" s="245" t="str">
        <f>IF('Organizational Dimension'!B12=0,"",'Organizational Dimension'!B12)</f>
        <v/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3">
        <f>'Organizational Dimension'!E12</f>
        <v>0</v>
      </c>
      <c r="Q38" s="3">
        <f>'Organizational Dimension'!I12</f>
        <v>0</v>
      </c>
      <c r="R38" s="3">
        <f>'Organizational Dimension'!M12</f>
        <v>0</v>
      </c>
      <c r="S38" s="3">
        <f>'Organizational Dimension'!Q12</f>
        <v>0</v>
      </c>
      <c r="T38" s="23" t="e">
        <f>'Organizational Dimension'!Y12</f>
        <v>#DIV/0!</v>
      </c>
    </row>
    <row r="39" spans="1:20" ht="57" customHeight="1" x14ac:dyDescent="0.35">
      <c r="A39" s="245" t="str">
        <f>IF('Organizational Dimension'!B13=0,"",'Organizational Dimension'!B13)</f>
        <v/>
      </c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3">
        <f>'Organizational Dimension'!E13</f>
        <v>0</v>
      </c>
      <c r="Q39" s="3">
        <f>'Organizational Dimension'!I13</f>
        <v>0</v>
      </c>
      <c r="R39" s="3">
        <f>'Organizational Dimension'!M13</f>
        <v>0</v>
      </c>
      <c r="S39" s="3">
        <f>'Organizational Dimension'!Q13</f>
        <v>0</v>
      </c>
      <c r="T39" s="23" t="e">
        <f>'Organizational Dimension'!Y13</f>
        <v>#DIV/0!</v>
      </c>
    </row>
    <row r="40" spans="1:20" ht="29.25" customHeight="1" thickBot="1" x14ac:dyDescent="0.4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4">
        <f>'Organizational Dimension'!E14</f>
        <v>0</v>
      </c>
      <c r="Q40" s="24">
        <f>'Organizational Dimension'!I14</f>
        <v>0</v>
      </c>
      <c r="R40" s="24">
        <f>'Organizational Dimension'!M14</f>
        <v>0</v>
      </c>
      <c r="S40" s="24">
        <f>'Organizational Dimension'!Q14</f>
        <v>0</v>
      </c>
      <c r="T40" s="25">
        <f>'Organizational Dimension'!Y14</f>
        <v>0</v>
      </c>
    </row>
    <row r="41" spans="1:20" ht="15" thickBot="1" x14ac:dyDescent="0.4">
      <c r="A41" s="4" t="s">
        <v>51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P41" s="4"/>
      <c r="Q41" s="4"/>
      <c r="R41" s="4"/>
      <c r="S41" s="4"/>
      <c r="T41" s="4"/>
    </row>
    <row r="42" spans="1:20" x14ac:dyDescent="0.35">
      <c r="A42" s="240" t="s">
        <v>39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9" t="s">
        <v>28</v>
      </c>
      <c r="Q42" s="9" t="s">
        <v>15</v>
      </c>
      <c r="R42" s="9" t="s">
        <v>16</v>
      </c>
      <c r="S42" s="9" t="s">
        <v>17</v>
      </c>
      <c r="T42" s="10" t="s">
        <v>52</v>
      </c>
    </row>
    <row r="43" spans="1:20" x14ac:dyDescent="0.35">
      <c r="A43" s="24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19"/>
      <c r="Q43" s="19"/>
      <c r="R43" s="19"/>
      <c r="S43" s="19"/>
      <c r="T43" s="13" t="s">
        <v>27</v>
      </c>
    </row>
    <row r="44" spans="1:20" ht="45" customHeight="1" x14ac:dyDescent="0.35">
      <c r="A44" s="245" t="str">
        <f>IF('Self Development'!B4=0,"",'Self Development'!B4)</f>
        <v/>
      </c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3">
        <f>'Self Development'!D4</f>
        <v>0</v>
      </c>
      <c r="Q44" s="3">
        <f>'Self Development'!F4</f>
        <v>0</v>
      </c>
      <c r="R44" s="3">
        <f>'Self Development'!H4</f>
        <v>0</v>
      </c>
      <c r="S44" s="3">
        <f>'Self Development'!J4</f>
        <v>0</v>
      </c>
      <c r="T44" s="28" t="e">
        <f>'Self Development'!N4</f>
        <v>#DIV/0!</v>
      </c>
    </row>
    <row r="45" spans="1:20" ht="45" customHeight="1" x14ac:dyDescent="0.35">
      <c r="A45" s="245" t="str">
        <f>IF('Self Development'!B5=0,"",'Self Development'!B5)</f>
        <v/>
      </c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3">
        <f>'Self Development'!D5</f>
        <v>0</v>
      </c>
      <c r="Q45" s="3">
        <f>'Self Development'!F5</f>
        <v>0</v>
      </c>
      <c r="R45" s="3">
        <f>'Self Development'!H5</f>
        <v>0</v>
      </c>
      <c r="S45" s="3">
        <f>'Self Development'!J5</f>
        <v>0</v>
      </c>
      <c r="T45" s="28" t="e">
        <f>'Self Development'!N5</f>
        <v>#DIV/0!</v>
      </c>
    </row>
    <row r="46" spans="1:20" ht="45" customHeight="1" x14ac:dyDescent="0.35">
      <c r="A46" s="245" t="str">
        <f>IF('Self Development'!B6=0,"",'Self Development'!B6)</f>
        <v/>
      </c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3">
        <f>'Self Development'!D6</f>
        <v>0</v>
      </c>
      <c r="Q46" s="3">
        <f>'Self Development'!F6</f>
        <v>0</v>
      </c>
      <c r="R46" s="3">
        <f>'Self Development'!H6</f>
        <v>0</v>
      </c>
      <c r="S46" s="3">
        <f>'Self Development'!J6</f>
        <v>0</v>
      </c>
      <c r="T46" s="28" t="e">
        <f>'Self Development'!N6</f>
        <v>#DIV/0!</v>
      </c>
    </row>
    <row r="47" spans="1:20" ht="45" customHeight="1" x14ac:dyDescent="0.35">
      <c r="A47" s="245" t="str">
        <f>IF('Self Development'!B7=0,"",'Self Development'!B7)</f>
        <v/>
      </c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3">
        <f>'Self Development'!D7</f>
        <v>0</v>
      </c>
      <c r="Q47" s="3">
        <f>'Self Development'!F7</f>
        <v>0</v>
      </c>
      <c r="R47" s="3">
        <f>'Self Development'!H7</f>
        <v>0</v>
      </c>
      <c r="S47" s="3">
        <f>'Self Development'!J7</f>
        <v>0</v>
      </c>
      <c r="T47" s="28" t="e">
        <f>'Self Development'!N7</f>
        <v>#DIV/0!</v>
      </c>
    </row>
    <row r="48" spans="1:20" ht="45" customHeight="1" x14ac:dyDescent="0.35">
      <c r="A48" s="245" t="str">
        <f>IF('Self Development'!B8=0,"",'Self Development'!B8)</f>
        <v/>
      </c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3">
        <f>'Self Development'!D8</f>
        <v>0</v>
      </c>
      <c r="Q48" s="3">
        <f>'Self Development'!F8</f>
        <v>0</v>
      </c>
      <c r="R48" s="3">
        <f>'Self Development'!H8</f>
        <v>0</v>
      </c>
      <c r="S48" s="3">
        <f>'Self Development'!J8</f>
        <v>0</v>
      </c>
      <c r="T48" s="28" t="e">
        <f>'Self Development'!N8</f>
        <v>#DIV/0!</v>
      </c>
    </row>
    <row r="49" spans="1:20" ht="45" customHeight="1" x14ac:dyDescent="0.35">
      <c r="A49" s="245" t="str">
        <f>IF('Self Development'!B9=0,"",'Self Development'!B9)</f>
        <v/>
      </c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3">
        <f>'Self Development'!D9</f>
        <v>0</v>
      </c>
      <c r="Q49" s="3">
        <f>'Self Development'!F9</f>
        <v>0</v>
      </c>
      <c r="R49" s="3">
        <f>'Self Development'!H9</f>
        <v>0</v>
      </c>
      <c r="S49" s="3">
        <f>'Self Development'!J9</f>
        <v>0</v>
      </c>
      <c r="T49" s="28" t="e">
        <f>'Self Development'!N9</f>
        <v>#DIV/0!</v>
      </c>
    </row>
    <row r="50" spans="1:20" ht="45" customHeight="1" x14ac:dyDescent="0.35">
      <c r="A50" s="245" t="str">
        <f>IF('Self Development'!B10=0,"",'Self Development'!B10)</f>
        <v/>
      </c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3">
        <f>'Self Development'!D10</f>
        <v>0</v>
      </c>
      <c r="Q50" s="3">
        <f>'Self Development'!F10</f>
        <v>0</v>
      </c>
      <c r="R50" s="3">
        <f>'Self Development'!H10</f>
        <v>0</v>
      </c>
      <c r="S50" s="3">
        <f>'Self Development'!J10</f>
        <v>0</v>
      </c>
      <c r="T50" s="28" t="e">
        <f>'Self Development'!N10</f>
        <v>#DIV/0!</v>
      </c>
    </row>
    <row r="51" spans="1:20" ht="45" customHeight="1" x14ac:dyDescent="0.35">
      <c r="A51" s="245" t="str">
        <f>IF('Self Development'!B11=0,"",'Self Development'!B11)</f>
        <v/>
      </c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3">
        <f>'Self Development'!D11</f>
        <v>0</v>
      </c>
      <c r="Q51" s="3">
        <f>'Self Development'!F11</f>
        <v>0</v>
      </c>
      <c r="R51" s="3">
        <f>'Self Development'!H11</f>
        <v>0</v>
      </c>
      <c r="S51" s="3">
        <f>'Self Development'!J11</f>
        <v>0</v>
      </c>
      <c r="T51" s="28" t="e">
        <f>'Self Development'!N11</f>
        <v>#DIV/0!</v>
      </c>
    </row>
    <row r="52" spans="1:20" ht="45" customHeight="1" x14ac:dyDescent="0.35">
      <c r="A52" s="245" t="str">
        <f>IF('Self Development'!B12=0,"",'Self Development'!B12)</f>
        <v/>
      </c>
      <c r="B52" s="246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3">
        <f>'Self Development'!D12</f>
        <v>0</v>
      </c>
      <c r="Q52" s="3">
        <f>'Self Development'!F12</f>
        <v>0</v>
      </c>
      <c r="R52" s="3">
        <f>'Self Development'!H12</f>
        <v>0</v>
      </c>
      <c r="S52" s="3">
        <f>'Self Development'!J12</f>
        <v>0</v>
      </c>
      <c r="T52" s="28" t="e">
        <f>'Self Development'!N12</f>
        <v>#DIV/0!</v>
      </c>
    </row>
    <row r="53" spans="1:20" ht="45" customHeight="1" thickBot="1" x14ac:dyDescent="0.4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4">
        <f>'Self Development'!D13</f>
        <v>0</v>
      </c>
      <c r="Q53" s="24">
        <f>'Self Development'!F13</f>
        <v>0</v>
      </c>
      <c r="R53" s="24">
        <f>'Self Development'!H13</f>
        <v>0</v>
      </c>
      <c r="S53" s="24">
        <f>'Self Development'!J13</f>
        <v>0</v>
      </c>
      <c r="T53" s="29">
        <f>'Self Development'!N13</f>
        <v>0</v>
      </c>
    </row>
    <row r="55" spans="1:20" ht="15" thickBot="1" x14ac:dyDescent="0.4">
      <c r="A55" s="4" t="s">
        <v>53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P55" s="4"/>
      <c r="Q55" s="4"/>
      <c r="R55" s="4"/>
      <c r="S55" s="4"/>
      <c r="T55" s="4"/>
    </row>
    <row r="56" spans="1:20" x14ac:dyDescent="0.35">
      <c r="A56" s="270" t="s">
        <v>43</v>
      </c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30" t="s">
        <v>28</v>
      </c>
      <c r="Q56" s="30" t="s">
        <v>15</v>
      </c>
      <c r="R56" s="30" t="s">
        <v>16</v>
      </c>
      <c r="S56" s="30" t="s">
        <v>17</v>
      </c>
      <c r="T56" s="31" t="s">
        <v>47</v>
      </c>
    </row>
    <row r="57" spans="1:20" x14ac:dyDescent="0.35">
      <c r="A57" s="266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32"/>
      <c r="Q57" s="32"/>
      <c r="R57" s="32"/>
      <c r="S57" s="32"/>
      <c r="T57" s="33" t="s">
        <v>27</v>
      </c>
    </row>
    <row r="58" spans="1:20" ht="45" customHeight="1" x14ac:dyDescent="0.35">
      <c r="A58" s="266" t="str">
        <f>IF('Developing Others'!B4=0,"",'Developing Others'!B4)</f>
        <v/>
      </c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3">
        <f>'Developing Others'!D4</f>
        <v>0</v>
      </c>
      <c r="Q58" s="3">
        <f>'Developing Others'!F4</f>
        <v>0</v>
      </c>
      <c r="R58" s="3">
        <f>'Developing Others'!H4</f>
        <v>0</v>
      </c>
      <c r="S58" s="3">
        <f>'Developing Others'!J4</f>
        <v>0</v>
      </c>
      <c r="T58" s="28" t="e">
        <f>'Developing Others'!N4</f>
        <v>#DIV/0!</v>
      </c>
    </row>
    <row r="59" spans="1:20" ht="45" customHeight="1" x14ac:dyDescent="0.35">
      <c r="A59" s="266" t="str">
        <f>IF('Developing Others'!B10=0,"",'Developing Others'!B10)</f>
        <v/>
      </c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3">
        <f>'Developing Others'!D10</f>
        <v>0</v>
      </c>
      <c r="Q59" s="3">
        <f>'Developing Others'!F10</f>
        <v>0</v>
      </c>
      <c r="R59" s="3">
        <f>'Developing Others'!H10</f>
        <v>0</v>
      </c>
      <c r="S59" s="3">
        <f>'Developing Others'!J10</f>
        <v>0</v>
      </c>
      <c r="T59" s="28" t="e">
        <f>'Developing Others'!N10</f>
        <v>#DIV/0!</v>
      </c>
    </row>
    <row r="60" spans="1:20" ht="45" customHeight="1" x14ac:dyDescent="0.35">
      <c r="A60" s="266" t="str">
        <f>IF('Developing Others'!B11=0,"",'Developing Others'!B11)</f>
        <v/>
      </c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3">
        <f>'Developing Others'!D11</f>
        <v>0</v>
      </c>
      <c r="Q60" s="3">
        <f>'Developing Others'!F11</f>
        <v>0</v>
      </c>
      <c r="R60" s="3">
        <f>'Developing Others'!H11</f>
        <v>0</v>
      </c>
      <c r="S60" s="3">
        <f>'Developing Others'!J11</f>
        <v>0</v>
      </c>
      <c r="T60" s="28" t="e">
        <f>'Developing Others'!N11</f>
        <v>#DIV/0!</v>
      </c>
    </row>
    <row r="61" spans="1:20" ht="45" customHeight="1" x14ac:dyDescent="0.35">
      <c r="A61" s="266" t="str">
        <f>IF('Developing Others'!B12=0,"",'Developing Others'!B12)</f>
        <v/>
      </c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3">
        <f>'Developing Others'!D12</f>
        <v>0</v>
      </c>
      <c r="Q61" s="3">
        <f>'Developing Others'!F12</f>
        <v>0</v>
      </c>
      <c r="R61" s="3">
        <f>'Developing Others'!H12</f>
        <v>0</v>
      </c>
      <c r="S61" s="3">
        <f>'Developing Others'!J12</f>
        <v>0</v>
      </c>
      <c r="T61" s="28" t="e">
        <f>'Developing Others'!N12</f>
        <v>#DIV/0!</v>
      </c>
    </row>
    <row r="62" spans="1:20" ht="45" customHeight="1" x14ac:dyDescent="0.35">
      <c r="A62" s="266" t="str">
        <f>IF('Developing Others'!B13=0,"",'Developing Others'!B13)</f>
        <v/>
      </c>
      <c r="B62" s="267"/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3">
        <f>'Developing Others'!D13</f>
        <v>0</v>
      </c>
      <c r="Q62" s="3">
        <f>'Developing Others'!F13</f>
        <v>0</v>
      </c>
      <c r="R62" s="3">
        <f>'Developing Others'!H13</f>
        <v>0</v>
      </c>
      <c r="S62" s="3">
        <f>'Developing Others'!J13</f>
        <v>0</v>
      </c>
      <c r="T62" s="28" t="e">
        <f>'Developing Others'!N13</f>
        <v>#DIV/0!</v>
      </c>
    </row>
    <row r="63" spans="1:20" ht="45" customHeight="1" x14ac:dyDescent="0.35">
      <c r="A63" s="266" t="str">
        <f>IF('Developing Others'!B14=0,"",'Developing Others'!B14)</f>
        <v/>
      </c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3">
        <f>'Developing Others'!D14</f>
        <v>0</v>
      </c>
      <c r="Q63" s="3">
        <f>'Developing Others'!F14</f>
        <v>0</v>
      </c>
      <c r="R63" s="3">
        <f>'Developing Others'!H14</f>
        <v>0</v>
      </c>
      <c r="S63" s="3">
        <f>'Developing Others'!J14</f>
        <v>0</v>
      </c>
      <c r="T63" s="28" t="e">
        <f>'Developing Others'!N14</f>
        <v>#DIV/0!</v>
      </c>
    </row>
    <row r="64" spans="1:20" ht="45" customHeight="1" x14ac:dyDescent="0.35">
      <c r="A64" s="266" t="str">
        <f>IF('Developing Others'!B15=0,"",'Developing Others'!B15)</f>
        <v/>
      </c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3">
        <f>'Developing Others'!D15</f>
        <v>0</v>
      </c>
      <c r="Q64" s="3">
        <f>'Developing Others'!F15</f>
        <v>0</v>
      </c>
      <c r="R64" s="3">
        <f>'Developing Others'!H15</f>
        <v>0</v>
      </c>
      <c r="S64" s="3">
        <f>'Developing Others'!J15</f>
        <v>0</v>
      </c>
      <c r="T64" s="28" t="e">
        <f>'Developing Others'!N15</f>
        <v>#DIV/0!</v>
      </c>
    </row>
    <row r="65" spans="1:20" ht="45" customHeight="1" x14ac:dyDescent="0.35">
      <c r="A65" s="266" t="str">
        <f>IF('Developing Others'!B16=0,"",'Developing Others'!B16)</f>
        <v/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3">
        <f>'Developing Others'!D16</f>
        <v>0</v>
      </c>
      <c r="Q65" s="3">
        <f>'Developing Others'!F16</f>
        <v>0</v>
      </c>
      <c r="R65" s="3">
        <f>'Developing Others'!H16</f>
        <v>0</v>
      </c>
      <c r="S65" s="3">
        <f>'Developing Others'!J16</f>
        <v>0</v>
      </c>
      <c r="T65" s="28" t="e">
        <f>'Developing Others'!N16</f>
        <v>#DIV/0!</v>
      </c>
    </row>
    <row r="66" spans="1:20" ht="45" customHeight="1" x14ac:dyDescent="0.35">
      <c r="A66" s="266" t="str">
        <f>IF('Developing Others'!B17=0,"",'Developing Others'!B17)</f>
        <v/>
      </c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3">
        <f>'Developing Others'!D17</f>
        <v>0</v>
      </c>
      <c r="Q66" s="3">
        <f>'Developing Others'!F17</f>
        <v>0</v>
      </c>
      <c r="R66" s="3">
        <f>'Developing Others'!H17</f>
        <v>0</v>
      </c>
      <c r="S66" s="3">
        <f>'Developing Others'!J17</f>
        <v>0</v>
      </c>
      <c r="T66" s="28" t="e">
        <f>'Developing Others'!N17</f>
        <v>#DIV/0!</v>
      </c>
    </row>
    <row r="67" spans="1:20" ht="45" customHeight="1" thickBot="1" x14ac:dyDescent="0.4">
      <c r="A67" s="268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4">
        <f>'Developing Others'!D18</f>
        <v>0</v>
      </c>
      <c r="Q67" s="24">
        <f>'Developing Others'!F18</f>
        <v>0</v>
      </c>
      <c r="R67" s="24">
        <f>'Developing Others'!H18</f>
        <v>0</v>
      </c>
      <c r="S67" s="24">
        <f>'Developing Others'!J18</f>
        <v>0</v>
      </c>
      <c r="T67" s="29">
        <f>'Developing Others'!N18</f>
        <v>0</v>
      </c>
    </row>
    <row r="68" spans="1:20" ht="15" thickBot="1" x14ac:dyDescent="0.4"/>
    <row r="69" spans="1:20" x14ac:dyDescent="0.35">
      <c r="A69" s="260" t="s">
        <v>54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2"/>
    </row>
    <row r="70" spans="1:20" ht="89.25" customHeight="1" x14ac:dyDescent="0.35">
      <c r="A70" s="263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5"/>
    </row>
    <row r="71" spans="1:20" x14ac:dyDescent="0.35">
      <c r="A71" s="275" t="s">
        <v>23</v>
      </c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7"/>
    </row>
    <row r="72" spans="1:20" ht="89.25" customHeight="1" x14ac:dyDescent="0.35">
      <c r="A72" s="263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5"/>
    </row>
    <row r="73" spans="1:20" x14ac:dyDescent="0.35">
      <c r="A73" s="275" t="s">
        <v>24</v>
      </c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7"/>
    </row>
    <row r="74" spans="1:20" ht="89.25" customHeight="1" x14ac:dyDescent="0.35">
      <c r="A74" s="263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5"/>
    </row>
    <row r="75" spans="1:20" x14ac:dyDescent="0.35">
      <c r="A75" s="275" t="s">
        <v>25</v>
      </c>
      <c r="B75" s="276"/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7"/>
    </row>
    <row r="76" spans="1:20" ht="89.25" customHeight="1" thickBot="1" x14ac:dyDescent="0.4">
      <c r="A76" s="272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4"/>
    </row>
  </sheetData>
  <mergeCells count="96">
    <mergeCell ref="A76:T76"/>
    <mergeCell ref="A73:T73"/>
    <mergeCell ref="A75:T75"/>
    <mergeCell ref="A71:T71"/>
    <mergeCell ref="A3:T3"/>
    <mergeCell ref="A57:O57"/>
    <mergeCell ref="A58:O58"/>
    <mergeCell ref="A59:O59"/>
    <mergeCell ref="A60:O60"/>
    <mergeCell ref="A43:O43"/>
    <mergeCell ref="A44:O44"/>
    <mergeCell ref="A48:O48"/>
    <mergeCell ref="A49:O49"/>
    <mergeCell ref="A50:O50"/>
    <mergeCell ref="A51:O51"/>
    <mergeCell ref="A45:O45"/>
    <mergeCell ref="A2:T2"/>
    <mergeCell ref="A69:T69"/>
    <mergeCell ref="A70:T70"/>
    <mergeCell ref="A72:T72"/>
    <mergeCell ref="A74:T74"/>
    <mergeCell ref="A64:O64"/>
    <mergeCell ref="A65:O65"/>
    <mergeCell ref="A66:O66"/>
    <mergeCell ref="A67:O67"/>
    <mergeCell ref="A61:O61"/>
    <mergeCell ref="A62:O62"/>
    <mergeCell ref="A63:O63"/>
    <mergeCell ref="A20:F20"/>
    <mergeCell ref="G20:K20"/>
    <mergeCell ref="A52:O52"/>
    <mergeCell ref="A56:O56"/>
    <mergeCell ref="A1:T1"/>
    <mergeCell ref="A18:F18"/>
    <mergeCell ref="G18:K18"/>
    <mergeCell ref="A19:F19"/>
    <mergeCell ref="G19:K19"/>
    <mergeCell ref="Q4:T4"/>
    <mergeCell ref="Q5:T5"/>
    <mergeCell ref="Q6:T6"/>
    <mergeCell ref="Q7:T7"/>
    <mergeCell ref="Q8:T8"/>
    <mergeCell ref="Q9:T9"/>
    <mergeCell ref="A9:F9"/>
    <mergeCell ref="G4:K4"/>
    <mergeCell ref="G5:K5"/>
    <mergeCell ref="G6:K6"/>
    <mergeCell ref="G7:K7"/>
    <mergeCell ref="A46:O46"/>
    <mergeCell ref="A47:O47"/>
    <mergeCell ref="A34:O34"/>
    <mergeCell ref="A37:O37"/>
    <mergeCell ref="A38:O38"/>
    <mergeCell ref="A39:O39"/>
    <mergeCell ref="A28:O28"/>
    <mergeCell ref="A42:O42"/>
    <mergeCell ref="A35:O35"/>
    <mergeCell ref="A36:O36"/>
    <mergeCell ref="A29:O29"/>
    <mergeCell ref="A30:O30"/>
    <mergeCell ref="A31:O31"/>
    <mergeCell ref="A32:O32"/>
    <mergeCell ref="A33:O33"/>
    <mergeCell ref="G24:K24"/>
    <mergeCell ref="G14:K14"/>
    <mergeCell ref="G15:K15"/>
    <mergeCell ref="G16:K16"/>
    <mergeCell ref="G17:K17"/>
    <mergeCell ref="G21:K21"/>
    <mergeCell ref="G22:K22"/>
    <mergeCell ref="A12:F12"/>
    <mergeCell ref="A13:F13"/>
    <mergeCell ref="G12:K12"/>
    <mergeCell ref="G13:K13"/>
    <mergeCell ref="G23:K23"/>
    <mergeCell ref="A23:F23"/>
    <mergeCell ref="A24:F24"/>
    <mergeCell ref="A14:F14"/>
    <mergeCell ref="A15:F15"/>
    <mergeCell ref="A16:F16"/>
    <mergeCell ref="A17:F17"/>
    <mergeCell ref="A21:F21"/>
    <mergeCell ref="A22:F22"/>
    <mergeCell ref="L9:P9"/>
    <mergeCell ref="A8:F8"/>
    <mergeCell ref="L6:P6"/>
    <mergeCell ref="L7:P7"/>
    <mergeCell ref="A6:F6"/>
    <mergeCell ref="A7:F7"/>
    <mergeCell ref="G8:K8"/>
    <mergeCell ref="G9:K9"/>
    <mergeCell ref="L4:P4"/>
    <mergeCell ref="L5:P5"/>
    <mergeCell ref="A4:F4"/>
    <mergeCell ref="A5:F5"/>
    <mergeCell ref="L8:P8"/>
  </mergeCells>
  <pageMargins left="0.7" right="0.7" top="0.75" bottom="0.75" header="0.3" footer="0.3"/>
  <pageSetup scale="81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Functional Dimension</vt:lpstr>
      <vt:lpstr>Organizational Dimension</vt:lpstr>
      <vt:lpstr>Self Development</vt:lpstr>
      <vt:lpstr>Developing Others</vt:lpstr>
      <vt:lpstr>Score</vt:lpstr>
      <vt:lpstr>Score Sheet</vt:lpstr>
      <vt:lpstr>'Developing Others'!Print_Area</vt:lpstr>
      <vt:lpstr>'Functional Dimension'!Print_Area</vt:lpstr>
      <vt:lpstr>'Organizational Dimension'!Print_Area</vt:lpstr>
      <vt:lpstr>'Self Development'!Print_Area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Admin</cp:lastModifiedBy>
  <cp:lastPrinted>2020-09-22T13:16:53Z</cp:lastPrinted>
  <dcterms:created xsi:type="dcterms:W3CDTF">2015-07-04T06:26:29Z</dcterms:created>
  <dcterms:modified xsi:type="dcterms:W3CDTF">2025-09-30T06:30:00Z</dcterms:modified>
</cp:coreProperties>
</file>