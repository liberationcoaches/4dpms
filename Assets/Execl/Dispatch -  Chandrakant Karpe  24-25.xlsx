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45899c955a3b70d/Desktop/Align Aurangabad R4 Forms Reema Maam/Align Aurangabad R4 Forms/"/>
    </mc:Choice>
  </mc:AlternateContent>
  <xr:revisionPtr revIDLastSave="1" documentId="11_29C8C9318824DD346A68550FE6F1CDC325D97429" xr6:coauthVersionLast="47" xr6:coauthVersionMax="47" xr10:uidLastSave="{034CA521-492A-4C71-A996-E78A58CA4537}"/>
  <bookViews>
    <workbookView xWindow="-120" yWindow="-120" windowWidth="20730" windowHeight="11040" tabRatio="741" xr2:uid="{00000000-000D-0000-FFFF-FFFF00000000}"/>
  </bookViews>
  <sheets>
    <sheet name="Functional Dimension" sheetId="1" r:id="rId1"/>
    <sheet name="Organizational Dimension" sheetId="3" r:id="rId2"/>
    <sheet name="Self Development" sheetId="5" r:id="rId3"/>
    <sheet name="Developing Others" sheetId="6" r:id="rId4"/>
    <sheet name="Score" sheetId="4" r:id="rId5"/>
    <sheet name="Score Sheet" sheetId="7" state="hidden" r:id="rId6"/>
  </sheets>
  <definedNames>
    <definedName name="_xlnm.Print_Area" localSheetId="3">'Developing Others'!$A$1:$N$18</definedName>
    <definedName name="_xlnm.Print_Area" localSheetId="0">'Functional Dimension'!$A$1:$T$43</definedName>
    <definedName name="_xlnm.Print_Area" localSheetId="1">'Organizational Dimension'!$B$1:$Y$22</definedName>
    <definedName name="_xlnm.Print_Area" localSheetId="2">'Self Development'!$A$1:$N$13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13" i="5" l="1"/>
  <c r="U14" i="3"/>
  <c r="R42" i="1"/>
  <c r="R43" i="1" s="1"/>
  <c r="J13" i="5" l="1"/>
  <c r="Q14" i="3"/>
  <c r="O42" i="1"/>
  <c r="O43" i="1" s="1"/>
  <c r="H13" i="5" l="1"/>
  <c r="D13" i="5"/>
  <c r="M14" i="3"/>
  <c r="I14" i="3"/>
  <c r="E14" i="3"/>
  <c r="K13" i="1"/>
  <c r="F13" i="5"/>
  <c r="I42" i="1"/>
  <c r="I43" i="1" s="1"/>
  <c r="L42" i="1"/>
  <c r="F42" i="1"/>
  <c r="F43" i="1" s="1"/>
  <c r="Y4" i="3" l="1"/>
  <c r="T14" i="1"/>
  <c r="Q13" i="1"/>
  <c r="N13" i="1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4" i="6"/>
  <c r="H13" i="1"/>
  <c r="T19" i="1"/>
  <c r="T15" i="1" l="1"/>
  <c r="T16" i="1"/>
  <c r="T17" i="1"/>
  <c r="E13" i="1" l="1"/>
  <c r="L13" i="7" s="1"/>
  <c r="E5" i="4"/>
  <c r="M25" i="7"/>
  <c r="M26" i="7" s="1"/>
  <c r="E6" i="4"/>
  <c r="E7" i="4"/>
  <c r="P53" i="7"/>
  <c r="E8" i="4"/>
  <c r="D18" i="6"/>
  <c r="P67" i="7" s="1"/>
  <c r="G8" i="4"/>
  <c r="L18" i="6"/>
  <c r="J18" i="6"/>
  <c r="S67" i="7" s="1"/>
  <c r="H18" i="6"/>
  <c r="R67" i="7" s="1"/>
  <c r="F18" i="6"/>
  <c r="Q67" i="7" s="1"/>
  <c r="S53" i="7"/>
  <c r="R53" i="7"/>
  <c r="Q53" i="7"/>
  <c r="S40" i="7"/>
  <c r="R40" i="7"/>
  <c r="Q40" i="7"/>
  <c r="G5" i="4"/>
  <c r="G6" i="4"/>
  <c r="G7" i="4"/>
  <c r="O26" i="7"/>
  <c r="I5" i="4"/>
  <c r="L43" i="1"/>
  <c r="Q26" i="7" s="1"/>
  <c r="I6" i="4"/>
  <c r="I7" i="4"/>
  <c r="I8" i="4"/>
  <c r="M5" i="4"/>
  <c r="N5" i="4" s="1"/>
  <c r="M6" i="4"/>
  <c r="M7" i="4"/>
  <c r="M8" i="4"/>
  <c r="N8" i="4" s="1"/>
  <c r="K5" i="4"/>
  <c r="S25" i="7"/>
  <c r="K6" i="4"/>
  <c r="K7" i="4"/>
  <c r="K8" i="4"/>
  <c r="T66" i="7"/>
  <c r="T65" i="7"/>
  <c r="T64" i="7"/>
  <c r="T63" i="7"/>
  <c r="T62" i="7"/>
  <c r="T61" i="7"/>
  <c r="T60" i="7"/>
  <c r="T59" i="7"/>
  <c r="N12" i="5"/>
  <c r="N11" i="5"/>
  <c r="T51" i="7" s="1"/>
  <c r="N10" i="5"/>
  <c r="T50" i="7" s="1"/>
  <c r="N9" i="5"/>
  <c r="T49" i="7" s="1"/>
  <c r="N8" i="5"/>
  <c r="T48" i="7" s="1"/>
  <c r="N7" i="5"/>
  <c r="T47" i="7" s="1"/>
  <c r="N6" i="5"/>
  <c r="T46" i="7" s="1"/>
  <c r="N5" i="5"/>
  <c r="T45" i="7" s="1"/>
  <c r="N4" i="5"/>
  <c r="T44" i="7" s="1"/>
  <c r="Y13" i="3"/>
  <c r="T39" i="7" s="1"/>
  <c r="Y12" i="3"/>
  <c r="Y11" i="3"/>
  <c r="T37" i="7" s="1"/>
  <c r="Y10" i="3"/>
  <c r="T36" i="7" s="1"/>
  <c r="Y9" i="3"/>
  <c r="T35" i="7" s="1"/>
  <c r="Y8" i="3"/>
  <c r="T34" i="7" s="1"/>
  <c r="Y7" i="3"/>
  <c r="T33" i="7" s="1"/>
  <c r="Y6" i="3"/>
  <c r="T32" i="7" s="1"/>
  <c r="Y5" i="3"/>
  <c r="T31" i="7" s="1"/>
  <c r="T30" i="7"/>
  <c r="T40" i="1"/>
  <c r="T39" i="1"/>
  <c r="T23" i="1"/>
  <c r="T22" i="1"/>
  <c r="T21" i="1"/>
  <c r="T20" i="1"/>
  <c r="T41" i="1"/>
  <c r="T18" i="1"/>
  <c r="A59" i="7"/>
  <c r="A60" i="7"/>
  <c r="A61" i="7"/>
  <c r="A62" i="7"/>
  <c r="A63" i="7"/>
  <c r="A64" i="7"/>
  <c r="A65" i="7"/>
  <c r="A66" i="7"/>
  <c r="A58" i="7"/>
  <c r="G4" i="7"/>
  <c r="G6" i="7"/>
  <c r="G7" i="7"/>
  <c r="G9" i="7"/>
  <c r="A3" i="7"/>
  <c r="A2" i="7"/>
  <c r="P14" i="7"/>
  <c r="T58" i="7"/>
  <c r="G15" i="7"/>
  <c r="G16" i="7"/>
  <c r="G17" i="7"/>
  <c r="G18" i="7"/>
  <c r="G19" i="7"/>
  <c r="G20" i="7"/>
  <c r="G21" i="7"/>
  <c r="G22" i="7"/>
  <c r="G23" i="7"/>
  <c r="G24" i="7"/>
  <c r="G14" i="7"/>
  <c r="A15" i="7"/>
  <c r="A16" i="7"/>
  <c r="A17" i="7"/>
  <c r="A18" i="7"/>
  <c r="A19" i="7"/>
  <c r="A20" i="7"/>
  <c r="A21" i="7"/>
  <c r="A22" i="7"/>
  <c r="A23" i="7"/>
  <c r="A24" i="7"/>
  <c r="A14" i="7"/>
  <c r="A1" i="7"/>
  <c r="S58" i="7"/>
  <c r="S59" i="7"/>
  <c r="S60" i="7"/>
  <c r="S61" i="7"/>
  <c r="S62" i="7"/>
  <c r="S63" i="7"/>
  <c r="S64" i="7"/>
  <c r="S65" i="7"/>
  <c r="S66" i="7"/>
  <c r="R58" i="7"/>
  <c r="R59" i="7"/>
  <c r="R60" i="7"/>
  <c r="R61" i="7"/>
  <c r="R62" i="7"/>
  <c r="R63" i="7"/>
  <c r="R64" i="7"/>
  <c r="R65" i="7"/>
  <c r="R66" i="7"/>
  <c r="Q58" i="7"/>
  <c r="Q59" i="7"/>
  <c r="Q60" i="7"/>
  <c r="Q61" i="7"/>
  <c r="Q62" i="7"/>
  <c r="Q63" i="7"/>
  <c r="Q64" i="7"/>
  <c r="Q65" i="7"/>
  <c r="Q66" i="7"/>
  <c r="P58" i="7"/>
  <c r="P59" i="7"/>
  <c r="P60" i="7"/>
  <c r="P61" i="7"/>
  <c r="P62" i="7"/>
  <c r="P63" i="7"/>
  <c r="P64" i="7"/>
  <c r="P65" i="7"/>
  <c r="P66" i="7"/>
  <c r="P44" i="7"/>
  <c r="Q44" i="7"/>
  <c r="R44" i="7"/>
  <c r="S44" i="7"/>
  <c r="P45" i="7"/>
  <c r="Q45" i="7"/>
  <c r="R45" i="7"/>
  <c r="S45" i="7"/>
  <c r="P46" i="7"/>
  <c r="Q46" i="7"/>
  <c r="R46" i="7"/>
  <c r="S46" i="7"/>
  <c r="P47" i="7"/>
  <c r="Q47" i="7"/>
  <c r="R47" i="7"/>
  <c r="S47" i="7"/>
  <c r="P48" i="7"/>
  <c r="Q48" i="7"/>
  <c r="R48" i="7"/>
  <c r="S48" i="7"/>
  <c r="P49" i="7"/>
  <c r="Q49" i="7"/>
  <c r="R49" i="7"/>
  <c r="S49" i="7"/>
  <c r="P50" i="7"/>
  <c r="Q50" i="7"/>
  <c r="R50" i="7"/>
  <c r="S50" i="7"/>
  <c r="P51" i="7"/>
  <c r="Q51" i="7"/>
  <c r="R51" i="7"/>
  <c r="S51" i="7"/>
  <c r="P52" i="7"/>
  <c r="Q52" i="7"/>
  <c r="R52" i="7"/>
  <c r="S52" i="7"/>
  <c r="T52" i="7"/>
  <c r="A45" i="7"/>
  <c r="A46" i="7"/>
  <c r="A47" i="7"/>
  <c r="A48" i="7"/>
  <c r="A49" i="7"/>
  <c r="A50" i="7"/>
  <c r="A51" i="7"/>
  <c r="A52" i="7"/>
  <c r="A44" i="7"/>
  <c r="T38" i="7"/>
  <c r="S30" i="7"/>
  <c r="S31" i="7"/>
  <c r="S32" i="7"/>
  <c r="S33" i="7"/>
  <c r="S34" i="7"/>
  <c r="S35" i="7"/>
  <c r="S36" i="7"/>
  <c r="S37" i="7"/>
  <c r="S38" i="7"/>
  <c r="S39" i="7"/>
  <c r="R30" i="7"/>
  <c r="R31" i="7"/>
  <c r="R32" i="7"/>
  <c r="R33" i="7"/>
  <c r="R34" i="7"/>
  <c r="R35" i="7"/>
  <c r="R36" i="7"/>
  <c r="R37" i="7"/>
  <c r="R38" i="7"/>
  <c r="R39" i="7"/>
  <c r="Q30" i="7"/>
  <c r="Q31" i="7"/>
  <c r="Q32" i="7"/>
  <c r="Q33" i="7"/>
  <c r="Q34" i="7"/>
  <c r="Q35" i="7"/>
  <c r="Q36" i="7"/>
  <c r="Q37" i="7"/>
  <c r="Q38" i="7"/>
  <c r="Q39" i="7"/>
  <c r="P30" i="7"/>
  <c r="P31" i="7"/>
  <c r="P32" i="7"/>
  <c r="P33" i="7"/>
  <c r="P34" i="7"/>
  <c r="P35" i="7"/>
  <c r="P36" i="7"/>
  <c r="P37" i="7"/>
  <c r="P38" i="7"/>
  <c r="P39" i="7"/>
  <c r="A31" i="7"/>
  <c r="A32" i="7"/>
  <c r="A33" i="7"/>
  <c r="A34" i="7"/>
  <c r="A35" i="7"/>
  <c r="A36" i="7"/>
  <c r="A37" i="7"/>
  <c r="A38" i="7"/>
  <c r="A39" i="7"/>
  <c r="A30" i="7"/>
  <c r="R14" i="7"/>
  <c r="S14" i="7"/>
  <c r="R15" i="7"/>
  <c r="S15" i="7"/>
  <c r="R16" i="7"/>
  <c r="S16" i="7"/>
  <c r="R17" i="7"/>
  <c r="S17" i="7"/>
  <c r="R18" i="7"/>
  <c r="S18" i="7"/>
  <c r="R19" i="7"/>
  <c r="S19" i="7"/>
  <c r="R20" i="7"/>
  <c r="S20" i="7"/>
  <c r="R21" i="7"/>
  <c r="S21" i="7"/>
  <c r="R22" i="7"/>
  <c r="S22" i="7"/>
  <c r="R23" i="7"/>
  <c r="S23" i="7"/>
  <c r="R24" i="7"/>
  <c r="S24" i="7"/>
  <c r="Q14" i="7"/>
  <c r="P15" i="7"/>
  <c r="Q15" i="7"/>
  <c r="P16" i="7"/>
  <c r="Q16" i="7"/>
  <c r="P17" i="7"/>
  <c r="Q17" i="7"/>
  <c r="P18" i="7"/>
  <c r="Q18" i="7"/>
  <c r="P19" i="7"/>
  <c r="Q19" i="7"/>
  <c r="P20" i="7"/>
  <c r="Q20" i="7"/>
  <c r="P21" i="7"/>
  <c r="Q21" i="7"/>
  <c r="P22" i="7"/>
  <c r="Q22" i="7"/>
  <c r="P23" i="7"/>
  <c r="Q23" i="7"/>
  <c r="P24" i="7"/>
  <c r="Q24" i="7"/>
  <c r="N14" i="7"/>
  <c r="O14" i="7"/>
  <c r="N15" i="7"/>
  <c r="O15" i="7"/>
  <c r="N16" i="7"/>
  <c r="O16" i="7"/>
  <c r="N17" i="7"/>
  <c r="O17" i="7"/>
  <c r="N18" i="7"/>
  <c r="O18" i="7"/>
  <c r="N19" i="7"/>
  <c r="O19" i="7"/>
  <c r="N20" i="7"/>
  <c r="O20" i="7"/>
  <c r="N21" i="7"/>
  <c r="O21" i="7"/>
  <c r="N22" i="7"/>
  <c r="O22" i="7"/>
  <c r="N23" i="7"/>
  <c r="O23" i="7"/>
  <c r="N24" i="7"/>
  <c r="O24" i="7"/>
  <c r="L14" i="7"/>
  <c r="M14" i="7"/>
  <c r="L15" i="7"/>
  <c r="M15" i="7"/>
  <c r="L16" i="7"/>
  <c r="M16" i="7"/>
  <c r="L17" i="7"/>
  <c r="M17" i="7"/>
  <c r="L18" i="7"/>
  <c r="M18" i="7"/>
  <c r="L19" i="7"/>
  <c r="M19" i="7"/>
  <c r="L20" i="7"/>
  <c r="M20" i="7"/>
  <c r="L21" i="7"/>
  <c r="M21" i="7"/>
  <c r="L22" i="7"/>
  <c r="M22" i="7"/>
  <c r="L23" i="7"/>
  <c r="M23" i="7"/>
  <c r="L24" i="7"/>
  <c r="M24" i="7"/>
  <c r="R13" i="7"/>
  <c r="P13" i="7"/>
  <c r="N13" i="7"/>
  <c r="T40" i="7"/>
  <c r="T53" i="7"/>
  <c r="T67" i="7"/>
  <c r="J6" i="4" l="1"/>
  <c r="F6" i="4"/>
  <c r="P40" i="7"/>
  <c r="E9" i="4"/>
  <c r="N6" i="4"/>
  <c r="N7" i="4"/>
  <c r="H5" i="4"/>
  <c r="L6" i="4"/>
  <c r="L8" i="4"/>
  <c r="J8" i="4"/>
  <c r="H8" i="4"/>
  <c r="J7" i="4"/>
  <c r="J5" i="4"/>
  <c r="I9" i="4"/>
  <c r="H7" i="4"/>
  <c r="G9" i="4"/>
  <c r="O25" i="7"/>
  <c r="F8" i="4"/>
  <c r="K9" i="4"/>
  <c r="F7" i="4"/>
  <c r="L7" i="4"/>
  <c r="Q25" i="7"/>
  <c r="S26" i="7"/>
  <c r="L5" i="4"/>
  <c r="F5" i="4"/>
  <c r="M9" i="4"/>
  <c r="H6" i="4"/>
  <c r="T25" i="7" l="1"/>
  <c r="O5" i="4"/>
  <c r="N9" i="4"/>
  <c r="J7" i="1" s="1"/>
  <c r="J9" i="4"/>
  <c r="J5" i="1" s="1"/>
  <c r="H9" i="4"/>
  <c r="J4" i="1" s="1"/>
  <c r="L9" i="4"/>
  <c r="J6" i="1" s="1"/>
  <c r="O6" i="4"/>
  <c r="O8" i="4"/>
  <c r="O7" i="4"/>
  <c r="F9" i="4"/>
  <c r="J3" i="1" s="1"/>
  <c r="O9" i="4" l="1"/>
  <c r="C4" i="4" s="1"/>
  <c r="D4" i="4" s="1"/>
</calcChain>
</file>

<file path=xl/sharedStrings.xml><?xml version="1.0" encoding="utf-8"?>
<sst xmlns="http://schemas.openxmlformats.org/spreadsheetml/2006/main" count="265" uniqueCount="174">
  <si>
    <t>Name:</t>
  </si>
  <si>
    <t>Location:</t>
  </si>
  <si>
    <t>Designation:</t>
  </si>
  <si>
    <t>Review 1 Date:</t>
  </si>
  <si>
    <t>Department:</t>
  </si>
  <si>
    <t>Review 2 Date:</t>
  </si>
  <si>
    <t>Reviewed By:</t>
  </si>
  <si>
    <t>Review 3 Date:</t>
  </si>
  <si>
    <t>LCPL Facilitator:</t>
  </si>
  <si>
    <t>Review 4 Date:</t>
  </si>
  <si>
    <t>In the following list please tick the response as per the gradation given, where: 1 = Very Low, 2=Low, 3=Average, 4=High, 5=Very High</t>
  </si>
  <si>
    <t>Functional Dimension: (Weight)</t>
  </si>
  <si>
    <t>KRA</t>
  </si>
  <si>
    <t>KPI (Target)</t>
  </si>
  <si>
    <t>Wt</t>
  </si>
  <si>
    <t>R1</t>
  </si>
  <si>
    <t>R2</t>
  </si>
  <si>
    <t>R3</t>
  </si>
  <si>
    <t>Average Score</t>
  </si>
  <si>
    <t>Organizational Dimension: (Weight)</t>
  </si>
  <si>
    <t>Core Values</t>
  </si>
  <si>
    <t>Critical Incident</t>
  </si>
  <si>
    <t>Remarks/Actionables R1:</t>
  </si>
  <si>
    <t>Remarks/Actionables R2:</t>
  </si>
  <si>
    <t>Remarks/Actionables R3:</t>
  </si>
  <si>
    <t>Score</t>
  </si>
  <si>
    <t>Pilot</t>
  </si>
  <si>
    <t>Reports Generated</t>
  </si>
  <si>
    <t>Current Salary:</t>
  </si>
  <si>
    <t>Date of Joining:</t>
  </si>
  <si>
    <t>Avg Score</t>
  </si>
  <si>
    <t>Total</t>
  </si>
  <si>
    <t>Functional</t>
  </si>
  <si>
    <t>Organizational</t>
  </si>
  <si>
    <t>Self Development</t>
  </si>
  <si>
    <t>Developing Others</t>
  </si>
  <si>
    <t>Self Development (Weight)</t>
  </si>
  <si>
    <t>Area of Concern</t>
  </si>
  <si>
    <t>Action Plan/Initiative</t>
  </si>
  <si>
    <t xml:space="preserve"> Score</t>
  </si>
  <si>
    <t>Developing Others (Weight)</t>
  </si>
  <si>
    <t>Person</t>
  </si>
  <si>
    <t>Area of Development</t>
  </si>
  <si>
    <t>DOJ:</t>
  </si>
  <si>
    <t>Reviewed by:</t>
  </si>
  <si>
    <t>Avg</t>
  </si>
  <si>
    <t>KPI</t>
  </si>
  <si>
    <t>Functional Dimension:</t>
  </si>
  <si>
    <t>Organizational Dimension:</t>
  </si>
  <si>
    <t>Self Development:</t>
  </si>
  <si>
    <t xml:space="preserve">Avg </t>
  </si>
  <si>
    <t>Developing Others:</t>
  </si>
  <si>
    <t>Remarks/Actionables Pilot</t>
  </si>
  <si>
    <t>Actual Perf/Comment</t>
  </si>
  <si>
    <t>Jaipur</t>
  </si>
  <si>
    <t>LCPL Facilitator</t>
  </si>
  <si>
    <t>Reason</t>
  </si>
  <si>
    <t>Average</t>
  </si>
  <si>
    <t xml:space="preserve">Location: </t>
  </si>
  <si>
    <t>Weightage
Pilot</t>
  </si>
  <si>
    <t xml:space="preserve">60 days average due to pandemic. I have suggested more aggressive follow up process. </t>
  </si>
  <si>
    <t xml:space="preserve">5% cost savings is currently happening. </t>
  </si>
  <si>
    <t xml:space="preserve">Last year was 50-55 days. This time average is 46 days. </t>
  </si>
  <si>
    <t xml:space="preserve">5% Deviation only. Next time report must include no. of days delayed and whether the material was A, B or C category. Ecopanel, Epoxy, Wood, … was A category. </t>
  </si>
  <si>
    <t>Client name</t>
  </si>
  <si>
    <t>Final Score</t>
  </si>
  <si>
    <t>KRA Date:</t>
  </si>
  <si>
    <t>Performance Review for</t>
  </si>
  <si>
    <t>4D PMS by :</t>
  </si>
  <si>
    <t>Do Not Edit</t>
  </si>
  <si>
    <t>Don’t forget</t>
  </si>
  <si>
    <t>Editable</t>
  </si>
  <si>
    <t>Aurangabad</t>
  </si>
  <si>
    <t>Q1</t>
  </si>
  <si>
    <t xml:space="preserve">Q1
</t>
  </si>
  <si>
    <t>(APRIL-MAY-JUNE)</t>
  </si>
  <si>
    <t>Q2</t>
  </si>
  <si>
    <t>Q3</t>
  </si>
  <si>
    <t>Q4</t>
  </si>
  <si>
    <t>Weightage Q1</t>
  </si>
  <si>
    <t>Weightage Q2</t>
  </si>
  <si>
    <t>Weightage Q3</t>
  </si>
  <si>
    <t>Weightage Q4</t>
  </si>
  <si>
    <t>Remarks/Actionables Q1:</t>
  </si>
  <si>
    <t>Remarks/Actionables Q2:</t>
  </si>
  <si>
    <t>Remarks/Actionables Q3:</t>
  </si>
  <si>
    <t>Remarks/Actionables Q4:</t>
  </si>
  <si>
    <t>Team work</t>
  </si>
  <si>
    <t>Continuous Improvement and Up gradation</t>
  </si>
  <si>
    <t>Excellence in quality</t>
  </si>
  <si>
    <t>Service to customer above all</t>
  </si>
  <si>
    <t>Relationship for life</t>
  </si>
  <si>
    <t>QTR 1 Date:</t>
  </si>
  <si>
    <t>QTR 2 Date:</t>
  </si>
  <si>
    <t>QTR 3 Date:</t>
  </si>
  <si>
    <t>QTR  4 Date:</t>
  </si>
  <si>
    <t>Dispatch register</t>
  </si>
  <si>
    <t>Handover Document</t>
  </si>
  <si>
    <t>Dispatch detail</t>
  </si>
  <si>
    <t>Triplicate report</t>
  </si>
  <si>
    <t xml:space="preserve">Dispatch Area Maintenance </t>
  </si>
  <si>
    <t xml:space="preserve">5 S to be maintained </t>
  </si>
  <si>
    <t xml:space="preserve">Daily audit to be done by SR </t>
  </si>
  <si>
    <t>Commercial calculation</t>
  </si>
  <si>
    <t>Communication - Customer communication</t>
  </si>
  <si>
    <t>Technical knowledge - Dye &amp; Stereo</t>
  </si>
  <si>
    <t>98% ontime</t>
  </si>
  <si>
    <t>Sr. Officer</t>
  </si>
  <si>
    <t>Vehicle Arrangement</t>
  </si>
  <si>
    <t>100% Ontime as per schedule</t>
  </si>
  <si>
    <t>Dispatch documentation</t>
  </si>
  <si>
    <t>100% Accurate - No Rework</t>
  </si>
  <si>
    <t>Documentation Status report</t>
  </si>
  <si>
    <t>Handover Document - Schedule &amp; EDI status</t>
  </si>
  <si>
    <t>Updating of Outstation vehicle on daily basis</t>
  </si>
  <si>
    <t>Update on WhatsApp group</t>
  </si>
  <si>
    <t>Teamwork</t>
  </si>
  <si>
    <t>ERP</t>
  </si>
  <si>
    <t>Report &amp; Reporting</t>
  </si>
  <si>
    <t>Excel</t>
  </si>
  <si>
    <t>Anger Management</t>
  </si>
  <si>
    <t>Fafeco Standard understanding</t>
  </si>
  <si>
    <t>Done in both shifts</t>
  </si>
  <si>
    <t>Sent on WhatsApp - missed some times</t>
  </si>
  <si>
    <t>Data maintenance</t>
  </si>
  <si>
    <t>Reporting</t>
  </si>
  <si>
    <t xml:space="preserve">Meditation &amp; need to improve listening skills ( need to work in team) </t>
  </si>
  <si>
    <t>Sent daily to accounts - send in sequence</t>
  </si>
  <si>
    <t>Avg - 92%</t>
  </si>
  <si>
    <t>12 mistakes</t>
  </si>
  <si>
    <t>Chandrakant Ambadas Karpe</t>
  </si>
  <si>
    <t>Dispatch</t>
  </si>
  <si>
    <t>Santosh Rathod</t>
  </si>
  <si>
    <t>Align Components Pvt. Ltd.</t>
  </si>
  <si>
    <t>2024-25</t>
  </si>
  <si>
    <t>(Without EDI sheet file should mail daily 7.30 am &amp; Schedule SMS to sent to the concern person on real time for no Invoice)</t>
  </si>
  <si>
    <t>Triplicate copy &amp;  to be sent to Accounts</t>
  </si>
  <si>
    <t>acknowledgement copy</t>
  </si>
  <si>
    <t xml:space="preserve">On daily basis - Serial no. wise by End of day
</t>
  </si>
  <si>
    <t>**Any changes in invoice to be informed to HOD on same day</t>
  </si>
  <si>
    <t>Sanjana Vinod</t>
  </si>
  <si>
    <t>98% ontime. Needs to maintaain adequate data documentation</t>
  </si>
  <si>
    <t xml:space="preserve">To be updated in excel report on daily basis
</t>
  </si>
  <si>
    <t>No report maintained for Q1</t>
  </si>
  <si>
    <t>Sent on WhatsApp -99% on time</t>
  </si>
  <si>
    <t>Avg - 82.5%. Need to ensure the disptach area maintenanceis done regulary and 5 S standard is maintaied</t>
  </si>
  <si>
    <t xml:space="preserve">CVB not adequately maintained - few instances shared </t>
  </si>
  <si>
    <t>23rd July 2024</t>
  </si>
  <si>
    <t>7-8 Mistakes</t>
  </si>
  <si>
    <t>v pradeep</t>
  </si>
  <si>
    <t>4 Mistakes</t>
  </si>
  <si>
    <t xml:space="preserve">Sent on WhatsApp </t>
  </si>
  <si>
    <t>84 Score</t>
  </si>
  <si>
    <t xml:space="preserve">Cvb Maintained </t>
  </si>
  <si>
    <t>certification by dec</t>
  </si>
  <si>
    <t>naintained</t>
  </si>
  <si>
    <t>n</t>
  </si>
  <si>
    <t>98% ontime.</t>
  </si>
  <si>
    <t xml:space="preserve">41 vehicles delayed. 98% data being maintained </t>
  </si>
  <si>
    <t>10 Mistakes</t>
  </si>
  <si>
    <t>`At times sheet is not updated ( EDI)</t>
  </si>
  <si>
    <t>CVB not adequately maintained - few instances shared by more related to his FD</t>
  </si>
  <si>
    <t>WIP</t>
  </si>
  <si>
    <t>Ongoing</t>
  </si>
  <si>
    <t>Reema P</t>
  </si>
  <si>
    <t xml:space="preserve">97% on-time </t>
  </si>
  <si>
    <t>15-18 mistakes</t>
  </si>
  <si>
    <t>Being Done</t>
  </si>
  <si>
    <t>Being Done but got informed by accounts that some data is missing</t>
  </si>
  <si>
    <t xml:space="preserve">CVB Not Maintained. He has not understood the concept of core values and could not narrate any CV example. </t>
  </si>
  <si>
    <t>Closed</t>
  </si>
  <si>
    <t>Same as before</t>
  </si>
  <si>
    <t>WIP. Not interested in learning</t>
  </si>
  <si>
    <t>Improvement is there but not under 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</si>
</sst>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sz val="14"/>
      <color theme="0" tint="-0.499984740745262"/>
      <name val="Calibri"/>
      <family val="2"/>
      <scheme val="minor"/>
    </font>
    <font>
      <sz val="14"/>
      <color rgb="FF7030A0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6"/>
      <name val="Calibri"/>
      <family val="2"/>
      <scheme val="minor"/>
    </font>
    <font>
      <sz val="14"/>
      <color theme="1"/>
      <name val="Calibri (Body)"/>
    </font>
    <font>
      <sz val="16"/>
      <color rgb="FFFF0000"/>
      <name val="Calibri"/>
      <family val="2"/>
      <scheme val="minor"/>
    </font>
    <font>
      <sz val="16"/>
      <color theme="1"/>
      <name val="Calibri (Body)"/>
    </font>
    <font>
      <sz val="16"/>
      <color theme="0"/>
      <name val="Calibri"/>
      <family val="2"/>
    </font>
    <font>
      <sz val="16"/>
      <color rgb="FFFF0000"/>
      <name val="Calibri"/>
      <family val="2"/>
    </font>
    <font>
      <sz val="1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-0.499984740745262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1">
    <xf numFmtId="0" fontId="0" fillId="0" borderId="0" xfId="0"/>
    <xf numFmtId="0" fontId="0" fillId="0" borderId="0" xfId="0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" fillId="0" borderId="0" xfId="0" applyFont="1"/>
    <xf numFmtId="9" fontId="0" fillId="0" borderId="0" xfId="0" applyNumberFormat="1" applyAlignment="1">
      <alignment vertical="center"/>
    </xf>
    <xf numFmtId="1" fontId="0" fillId="0" borderId="10" xfId="0" applyNumberFormat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 vertical="center"/>
    </xf>
    <xf numFmtId="0" fontId="2" fillId="0" borderId="22" xfId="0" applyFont="1" applyBorder="1"/>
    <xf numFmtId="0" fontId="2" fillId="0" borderId="23" xfId="0" applyFont="1" applyBorder="1"/>
    <xf numFmtId="9" fontId="4" fillId="0" borderId="25" xfId="0" applyNumberFormat="1" applyFont="1" applyBorder="1" applyAlignment="1">
      <alignment horizontal="center"/>
    </xf>
    <xf numFmtId="1" fontId="4" fillId="0" borderId="25" xfId="0" applyNumberFormat="1" applyFont="1" applyBorder="1" applyAlignment="1">
      <alignment horizontal="center"/>
    </xf>
    <xf numFmtId="0" fontId="2" fillId="0" borderId="26" xfId="0" applyFont="1" applyBorder="1"/>
    <xf numFmtId="0" fontId="0" fillId="0" borderId="31" xfId="0" applyBorder="1"/>
    <xf numFmtId="0" fontId="0" fillId="0" borderId="32" xfId="0" applyBorder="1"/>
    <xf numFmtId="9" fontId="0" fillId="0" borderId="32" xfId="0" applyNumberFormat="1" applyBorder="1" applyAlignment="1">
      <alignment horizontal="center" vertical="center"/>
    </xf>
    <xf numFmtId="1" fontId="0" fillId="0" borderId="32" xfId="0" applyNumberFormat="1" applyBorder="1" applyAlignment="1">
      <alignment horizontal="center" vertical="center"/>
    </xf>
    <xf numFmtId="2" fontId="2" fillId="0" borderId="33" xfId="0" applyNumberFormat="1" applyFont="1" applyBorder="1" applyAlignment="1">
      <alignment horizontal="center" vertical="center"/>
    </xf>
    <xf numFmtId="0" fontId="2" fillId="0" borderId="25" xfId="0" applyFont="1" applyBorder="1"/>
    <xf numFmtId="9" fontId="0" fillId="0" borderId="25" xfId="0" applyNumberFormat="1" applyBorder="1" applyAlignment="1">
      <alignment horizontal="center" vertical="center"/>
    </xf>
    <xf numFmtId="1" fontId="0" fillId="0" borderId="25" xfId="0" applyNumberFormat="1" applyBorder="1" applyAlignment="1">
      <alignment horizontal="center" vertical="center"/>
    </xf>
    <xf numFmtId="0" fontId="0" fillId="0" borderId="26" xfId="0" applyBorder="1" applyAlignment="1">
      <alignment vertical="center"/>
    </xf>
    <xf numFmtId="2" fontId="0" fillId="0" borderId="26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2" fontId="0" fillId="0" borderId="33" xfId="0" applyNumberFormat="1" applyBorder="1" applyAlignment="1">
      <alignment horizontal="center" vertic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3" fillId="3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9" fontId="3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5" fillId="0" borderId="2" xfId="0" applyFont="1" applyBorder="1"/>
    <xf numFmtId="0" fontId="5" fillId="0" borderId="12" xfId="0" applyFont="1" applyBorder="1"/>
    <xf numFmtId="0" fontId="5" fillId="0" borderId="24" xfId="0" applyFont="1" applyBorder="1" applyAlignment="1">
      <alignment horizontal="center" vertical="center" wrapText="1"/>
    </xf>
    <xf numFmtId="165" fontId="3" fillId="0" borderId="6" xfId="0" applyNumberFormat="1" applyFont="1" applyBorder="1" applyAlignment="1">
      <alignment horizontal="center" vertical="center"/>
    </xf>
    <xf numFmtId="164" fontId="7" fillId="0" borderId="9" xfId="0" applyNumberFormat="1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4" borderId="6" xfId="0" applyFont="1" applyFill="1" applyBorder="1" applyAlignment="1">
      <alignment horizontal="left" vertical="center"/>
    </xf>
    <xf numFmtId="165" fontId="8" fillId="0" borderId="6" xfId="0" applyNumberFormat="1" applyFont="1" applyBorder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/>
    </xf>
    <xf numFmtId="165" fontId="3" fillId="2" borderId="6" xfId="0" applyNumberFormat="1" applyFont="1" applyFill="1" applyBorder="1" applyAlignment="1">
      <alignment horizontal="center" vertical="center"/>
    </xf>
    <xf numFmtId="165" fontId="9" fillId="0" borderId="6" xfId="0" applyNumberFormat="1" applyFont="1" applyBorder="1" applyAlignment="1">
      <alignment horizontal="center" vertical="center"/>
    </xf>
    <xf numFmtId="165" fontId="10" fillId="0" borderId="7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vertical="center" wrapText="1"/>
    </xf>
    <xf numFmtId="0" fontId="11" fillId="0" borderId="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2" fillId="0" borderId="6" xfId="0" applyFont="1" applyBorder="1" applyAlignment="1">
      <alignment horizontal="left" vertical="center" wrapText="1"/>
    </xf>
    <xf numFmtId="9" fontId="12" fillId="0" borderId="6" xfId="0" applyNumberFormat="1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9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 wrapText="1"/>
    </xf>
    <xf numFmtId="9" fontId="5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wrapText="1"/>
    </xf>
    <xf numFmtId="9" fontId="12" fillId="0" borderId="6" xfId="1" applyFont="1" applyFill="1" applyBorder="1" applyAlignment="1">
      <alignment horizontal="center" vertical="center" wrapText="1"/>
    </xf>
    <xf numFmtId="9" fontId="12" fillId="0" borderId="6" xfId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wrapText="1"/>
    </xf>
    <xf numFmtId="0" fontId="11" fillId="0" borderId="6" xfId="0" applyFont="1" applyBorder="1" applyAlignment="1">
      <alignment horizontal="left" vertical="center" wrapText="1"/>
    </xf>
    <xf numFmtId="9" fontId="11" fillId="0" borderId="0" xfId="0" applyNumberFormat="1" applyFont="1" applyAlignment="1">
      <alignment horizontal="center" vertical="center" wrapText="1"/>
    </xf>
    <xf numFmtId="0" fontId="11" fillId="5" borderId="6" xfId="0" applyFont="1" applyFill="1" applyBorder="1" applyAlignment="1">
      <alignment vertical="center" wrapText="1"/>
    </xf>
    <xf numFmtId="9" fontId="11" fillId="5" borderId="0" xfId="1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9" fontId="5" fillId="0" borderId="0" xfId="0" applyNumberFormat="1" applyFont="1" applyAlignment="1">
      <alignment wrapText="1"/>
    </xf>
    <xf numFmtId="0" fontId="11" fillId="0" borderId="1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9" fontId="3" fillId="5" borderId="41" xfId="1" applyFont="1" applyFill="1" applyBorder="1" applyAlignment="1">
      <alignment horizontal="center" vertical="center"/>
    </xf>
    <xf numFmtId="2" fontId="21" fillId="7" borderId="44" xfId="0" applyNumberFormat="1" applyFont="1" applyFill="1" applyBorder="1" applyAlignment="1">
      <alignment horizontal="center" vertical="center"/>
    </xf>
    <xf numFmtId="2" fontId="21" fillId="7" borderId="45" xfId="0" applyNumberFormat="1" applyFont="1" applyFill="1" applyBorder="1" applyAlignment="1">
      <alignment horizontal="center" vertical="center"/>
    </xf>
    <xf numFmtId="0" fontId="20" fillId="7" borderId="4" xfId="0" applyFont="1" applyFill="1" applyBorder="1"/>
    <xf numFmtId="0" fontId="20" fillId="7" borderId="0" xfId="0" applyFont="1" applyFill="1"/>
    <xf numFmtId="0" fontId="20" fillId="7" borderId="14" xfId="0" applyFont="1" applyFill="1" applyBorder="1" applyAlignment="1">
      <alignment horizontal="center" vertical="center"/>
    </xf>
    <xf numFmtId="0" fontId="20" fillId="7" borderId="0" xfId="0" applyFont="1" applyFill="1" applyAlignment="1">
      <alignment vertical="center"/>
    </xf>
    <xf numFmtId="0" fontId="20" fillId="7" borderId="0" xfId="0" applyFont="1" applyFill="1" applyAlignment="1">
      <alignment horizontal="center" vertical="center"/>
    </xf>
    <xf numFmtId="0" fontId="21" fillId="7" borderId="14" xfId="0" applyFont="1" applyFill="1" applyBorder="1" applyAlignment="1">
      <alignment horizontal="center" vertical="center"/>
    </xf>
    <xf numFmtId="0" fontId="20" fillId="7" borderId="27" xfId="0" applyFont="1" applyFill="1" applyBorder="1" applyAlignment="1">
      <alignment horizontal="center" vertical="center" wrapText="1"/>
    </xf>
    <xf numFmtId="0" fontId="21" fillId="7" borderId="37" xfId="0" applyFont="1" applyFill="1" applyBorder="1" applyAlignment="1">
      <alignment horizontal="center" vertical="center" wrapText="1"/>
    </xf>
    <xf numFmtId="0" fontId="20" fillId="7" borderId="41" xfId="0" applyFont="1" applyFill="1" applyBorder="1" applyAlignment="1">
      <alignment horizontal="center" vertical="center" wrapText="1"/>
    </xf>
    <xf numFmtId="0" fontId="20" fillId="7" borderId="12" xfId="0" applyFont="1" applyFill="1" applyBorder="1" applyAlignment="1">
      <alignment horizontal="center" vertical="center" wrapText="1"/>
    </xf>
    <xf numFmtId="0" fontId="21" fillId="7" borderId="41" xfId="0" applyFont="1" applyFill="1" applyBorder="1" applyAlignment="1">
      <alignment horizontal="center" vertical="center" wrapText="1"/>
    </xf>
    <xf numFmtId="0" fontId="20" fillId="7" borderId="47" xfId="0" applyFont="1" applyFill="1" applyBorder="1" applyAlignment="1">
      <alignment horizontal="center" vertical="center" wrapText="1"/>
    </xf>
    <xf numFmtId="0" fontId="20" fillId="7" borderId="45" xfId="0" applyFont="1" applyFill="1" applyBorder="1" applyAlignment="1">
      <alignment horizontal="center" vertical="center" wrapText="1"/>
    </xf>
    <xf numFmtId="0" fontId="20" fillId="7" borderId="46" xfId="0" applyFont="1" applyFill="1" applyBorder="1" applyAlignment="1">
      <alignment horizontal="center" vertical="center" wrapText="1"/>
    </xf>
    <xf numFmtId="9" fontId="3" fillId="5" borderId="41" xfId="1" applyFont="1" applyFill="1" applyBorder="1" applyAlignment="1">
      <alignment horizontal="center" vertical="center" wrapText="1"/>
    </xf>
    <xf numFmtId="0" fontId="15" fillId="7" borderId="6" xfId="0" applyFont="1" applyFill="1" applyBorder="1" applyAlignment="1">
      <alignment vertical="center" wrapText="1"/>
    </xf>
    <xf numFmtId="9" fontId="3" fillId="5" borderId="2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9" fontId="3" fillId="5" borderId="2" xfId="1" applyFont="1" applyFill="1" applyBorder="1" applyAlignment="1">
      <alignment horizontal="center" vertical="center" wrapText="1"/>
    </xf>
    <xf numFmtId="9" fontId="5" fillId="5" borderId="2" xfId="1" applyFont="1" applyFill="1" applyBorder="1" applyAlignment="1">
      <alignment wrapText="1"/>
    </xf>
    <xf numFmtId="0" fontId="5" fillId="5" borderId="2" xfId="0" applyFont="1" applyFill="1" applyBorder="1" applyAlignment="1">
      <alignment wrapText="1"/>
    </xf>
    <xf numFmtId="0" fontId="5" fillId="5" borderId="3" xfId="0" applyFont="1" applyFill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21" fillId="7" borderId="16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20" fillId="7" borderId="18" xfId="0" applyFont="1" applyFill="1" applyBorder="1" applyAlignment="1">
      <alignment horizontal="center" vertical="center" wrapText="1"/>
    </xf>
    <xf numFmtId="0" fontId="21" fillId="7" borderId="12" xfId="0" applyFont="1" applyFill="1" applyBorder="1" applyAlignment="1">
      <alignment horizontal="center" vertical="center" wrapText="1"/>
    </xf>
    <xf numFmtId="0" fontId="21" fillId="7" borderId="27" xfId="0" applyFont="1" applyFill="1" applyBorder="1" applyAlignment="1">
      <alignment horizontal="center" vertical="center" wrapText="1"/>
    </xf>
    <xf numFmtId="0" fontId="21" fillId="7" borderId="41" xfId="0" applyFont="1" applyFill="1" applyBorder="1" applyAlignment="1">
      <alignment horizontal="center" vertical="center"/>
    </xf>
    <xf numFmtId="0" fontId="15" fillId="7" borderId="19" xfId="0" applyFont="1" applyFill="1" applyBorder="1" applyAlignment="1">
      <alignment horizontal="center" vertical="center" wrapText="1"/>
    </xf>
    <xf numFmtId="0" fontId="15" fillId="7" borderId="29" xfId="0" applyFont="1" applyFill="1" applyBorder="1" applyAlignment="1">
      <alignment horizontal="center" vertical="center" wrapText="1"/>
    </xf>
    <xf numFmtId="0" fontId="15" fillId="7" borderId="30" xfId="0" applyFont="1" applyFill="1" applyBorder="1" applyAlignment="1">
      <alignment horizontal="center" vertical="center" wrapText="1"/>
    </xf>
    <xf numFmtId="0" fontId="15" fillId="7" borderId="15" xfId="0" applyFont="1" applyFill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center" vertical="center" wrapText="1"/>
    </xf>
    <xf numFmtId="9" fontId="15" fillId="7" borderId="6" xfId="0" applyNumberFormat="1" applyFont="1" applyFill="1" applyBorder="1" applyAlignment="1">
      <alignment horizontal="center" vertical="center" wrapText="1"/>
    </xf>
    <xf numFmtId="0" fontId="17" fillId="7" borderId="16" xfId="0" applyFont="1" applyFill="1" applyBorder="1" applyAlignment="1">
      <alignment horizontal="center" vertical="center" wrapText="1"/>
    </xf>
    <xf numFmtId="0" fontId="18" fillId="7" borderId="15" xfId="0" applyFont="1" applyFill="1" applyBorder="1" applyAlignment="1">
      <alignment horizontal="center" vertical="center" wrapText="1"/>
    </xf>
    <xf numFmtId="0" fontId="18" fillId="7" borderId="6" xfId="0" applyFont="1" applyFill="1" applyBorder="1" applyAlignment="1">
      <alignment horizontal="center" vertical="center" wrapText="1"/>
    </xf>
    <xf numFmtId="9" fontId="18" fillId="7" borderId="6" xfId="1" applyFont="1" applyFill="1" applyBorder="1" applyAlignment="1">
      <alignment horizontal="center" vertical="center" wrapText="1"/>
    </xf>
    <xf numFmtId="165" fontId="18" fillId="7" borderId="16" xfId="0" applyNumberFormat="1" applyFont="1" applyFill="1" applyBorder="1" applyAlignment="1">
      <alignment horizontal="center" vertical="center" wrapText="1"/>
    </xf>
    <xf numFmtId="0" fontId="18" fillId="7" borderId="17" xfId="0" applyFont="1" applyFill="1" applyBorder="1" applyAlignment="1">
      <alignment horizontal="center" vertical="center" wrapText="1"/>
    </xf>
    <xf numFmtId="0" fontId="18" fillId="7" borderId="8" xfId="0" applyFont="1" applyFill="1" applyBorder="1" applyAlignment="1">
      <alignment horizontal="center" vertical="center" wrapText="1"/>
    </xf>
    <xf numFmtId="9" fontId="18" fillId="7" borderId="8" xfId="0" applyNumberFormat="1" applyFont="1" applyFill="1" applyBorder="1" applyAlignment="1">
      <alignment horizontal="center" vertical="center" wrapText="1"/>
    </xf>
    <xf numFmtId="2" fontId="18" fillId="7" borderId="18" xfId="0" applyNumberFormat="1" applyFont="1" applyFill="1" applyBorder="1" applyAlignment="1">
      <alignment horizontal="center" vertical="center" wrapText="1"/>
    </xf>
    <xf numFmtId="2" fontId="15" fillId="7" borderId="16" xfId="1" applyNumberFormat="1" applyFont="1" applyFill="1" applyBorder="1" applyAlignment="1">
      <alignment horizontal="center" vertical="center" wrapText="1"/>
    </xf>
    <xf numFmtId="14" fontId="12" fillId="0" borderId="6" xfId="0" applyNumberFormat="1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5" fillId="0" borderId="3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21" fillId="7" borderId="13" xfId="0" applyFont="1" applyFill="1" applyBorder="1" applyAlignment="1">
      <alignment horizontal="center" vertical="center" wrapText="1"/>
    </xf>
    <xf numFmtId="0" fontId="5" fillId="0" borderId="56" xfId="0" applyFont="1" applyBorder="1" applyAlignment="1">
      <alignment horizontal="center" vertical="center" wrapText="1"/>
    </xf>
    <xf numFmtId="0" fontId="23" fillId="0" borderId="38" xfId="0" applyFont="1" applyBorder="1" applyAlignment="1">
      <alignment horizontal="center" vertical="center" wrapText="1"/>
    </xf>
    <xf numFmtId="0" fontId="5" fillId="0" borderId="57" xfId="0" applyFont="1" applyBorder="1" applyAlignment="1">
      <alignment horizontal="center" vertical="center" wrapText="1"/>
    </xf>
    <xf numFmtId="0" fontId="20" fillId="7" borderId="13" xfId="0" applyFont="1" applyFill="1" applyBorder="1" applyAlignment="1">
      <alignment horizontal="center" vertical="center" wrapText="1"/>
    </xf>
    <xf numFmtId="0" fontId="20" fillId="7" borderId="58" xfId="0" applyFont="1" applyFill="1" applyBorder="1" applyAlignment="1">
      <alignment horizontal="center" vertical="center" wrapText="1"/>
    </xf>
    <xf numFmtId="0" fontId="21" fillId="7" borderId="59" xfId="0" applyFont="1" applyFill="1" applyBorder="1" applyAlignment="1">
      <alignment horizontal="center" vertical="center" wrapText="1"/>
    </xf>
    <xf numFmtId="0" fontId="21" fillId="7" borderId="49" xfId="0" applyFont="1" applyFill="1" applyBorder="1" applyAlignment="1">
      <alignment horizontal="center" vertical="center" wrapText="1"/>
    </xf>
    <xf numFmtId="0" fontId="20" fillId="7" borderId="60" xfId="0" applyFont="1" applyFill="1" applyBorder="1" applyAlignment="1">
      <alignment wrapText="1"/>
    </xf>
    <xf numFmtId="0" fontId="21" fillId="7" borderId="51" xfId="0" applyFont="1" applyFill="1" applyBorder="1" applyAlignment="1">
      <alignment horizontal="center" vertical="center" wrapText="1"/>
    </xf>
    <xf numFmtId="0" fontId="20" fillId="7" borderId="51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5" fillId="0" borderId="55" xfId="0" applyFont="1" applyBorder="1" applyAlignment="1">
      <alignment horizontal="center" vertical="center" wrapText="1"/>
    </xf>
    <xf numFmtId="0" fontId="5" fillId="0" borderId="52" xfId="0" applyFont="1" applyBorder="1" applyAlignment="1">
      <alignment horizontal="center" vertical="center" wrapText="1"/>
    </xf>
    <xf numFmtId="0" fontId="5" fillId="0" borderId="52" xfId="0" applyFont="1" applyBorder="1" applyAlignment="1">
      <alignment wrapText="1"/>
    </xf>
    <xf numFmtId="0" fontId="5" fillId="0" borderId="61" xfId="0" applyFont="1" applyBorder="1" applyAlignment="1">
      <alignment wrapText="1"/>
    </xf>
    <xf numFmtId="0" fontId="5" fillId="0" borderId="52" xfId="0" applyFont="1" applyBorder="1" applyAlignment="1">
      <alignment horizontal="left" vertical="top" wrapText="1"/>
    </xf>
    <xf numFmtId="0" fontId="5" fillId="0" borderId="61" xfId="0" applyFont="1" applyBorder="1" applyAlignment="1">
      <alignment horizontal="left" vertical="top" wrapText="1"/>
    </xf>
    <xf numFmtId="0" fontId="5" fillId="0" borderId="54" xfId="0" applyFont="1" applyBorder="1" applyAlignment="1">
      <alignment horizontal="center" vertical="center" wrapText="1"/>
    </xf>
    <xf numFmtId="0" fontId="5" fillId="0" borderId="59" xfId="0" applyFont="1" applyBorder="1" applyAlignment="1">
      <alignment horizontal="center" vertical="center" wrapText="1"/>
    </xf>
    <xf numFmtId="0" fontId="5" fillId="0" borderId="61" xfId="0" applyFont="1" applyBorder="1" applyAlignment="1">
      <alignment horizontal="center" vertical="center" wrapText="1"/>
    </xf>
    <xf numFmtId="0" fontId="23" fillId="0" borderId="39" xfId="0" applyFont="1" applyBorder="1" applyAlignment="1">
      <alignment horizontal="center" vertical="center" wrapText="1"/>
    </xf>
    <xf numFmtId="0" fontId="23" fillId="0" borderId="35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15" fontId="12" fillId="0" borderId="6" xfId="0" applyNumberFormat="1" applyFont="1" applyBorder="1" applyAlignment="1">
      <alignment horizontal="center" vertical="center" wrapText="1"/>
    </xf>
    <xf numFmtId="0" fontId="15" fillId="6" borderId="13" xfId="0" applyFont="1" applyFill="1" applyBorder="1" applyAlignment="1">
      <alignment horizontal="center" vertical="center" wrapText="1"/>
    </xf>
    <xf numFmtId="2" fontId="15" fillId="6" borderId="64" xfId="0" applyNumberFormat="1" applyFont="1" applyFill="1" applyBorder="1" applyAlignment="1">
      <alignment horizontal="center" vertical="center" wrapText="1"/>
    </xf>
    <xf numFmtId="2" fontId="15" fillId="6" borderId="58" xfId="0" applyNumberFormat="1" applyFont="1" applyFill="1" applyBorder="1" applyAlignment="1">
      <alignment horizontal="center" vertical="center" wrapText="1"/>
    </xf>
    <xf numFmtId="2" fontId="15" fillId="6" borderId="65" xfId="0" applyNumberFormat="1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vertical="center" wrapText="1"/>
    </xf>
    <xf numFmtId="0" fontId="15" fillId="6" borderId="6" xfId="0" applyFont="1" applyFill="1" applyBorder="1" applyAlignment="1">
      <alignment vertical="center" wrapText="1"/>
    </xf>
    <xf numFmtId="0" fontId="15" fillId="6" borderId="6" xfId="0" applyFont="1" applyFill="1" applyBorder="1" applyAlignment="1">
      <alignment horizontal="left" vertical="center" wrapText="1"/>
    </xf>
    <xf numFmtId="2" fontId="15" fillId="6" borderId="6" xfId="0" applyNumberFormat="1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left" vertical="center"/>
    </xf>
    <xf numFmtId="17" fontId="12" fillId="0" borderId="6" xfId="0" applyNumberFormat="1" applyFont="1" applyBorder="1" applyAlignment="1">
      <alignment horizontal="left" vertical="center"/>
    </xf>
    <xf numFmtId="0" fontId="24" fillId="0" borderId="6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 wrapText="1"/>
    </xf>
    <xf numFmtId="0" fontId="28" fillId="0" borderId="56" xfId="0" applyFont="1" applyBorder="1" applyAlignment="1">
      <alignment horizontal="center" vertical="center" wrapText="1"/>
    </xf>
    <xf numFmtId="10" fontId="12" fillId="0" borderId="6" xfId="0" applyNumberFormat="1" applyFont="1" applyBorder="1" applyAlignment="1">
      <alignment horizontal="center" vertical="center" wrapText="1"/>
    </xf>
    <xf numFmtId="0" fontId="14" fillId="4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0" fontId="3" fillId="0" borderId="34" xfId="0" applyFont="1" applyBorder="1" applyAlignment="1">
      <alignment horizontal="left" vertical="top" wrapText="1"/>
    </xf>
    <xf numFmtId="0" fontId="3" fillId="0" borderId="25" xfId="0" applyFont="1" applyBorder="1" applyAlignment="1">
      <alignment horizontal="left" vertical="top" wrapText="1"/>
    </xf>
    <xf numFmtId="0" fontId="3" fillId="0" borderId="35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2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0" fontId="11" fillId="0" borderId="63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left" vertical="top" wrapText="1"/>
    </xf>
    <xf numFmtId="0" fontId="3" fillId="0" borderId="32" xfId="0" applyFont="1" applyBorder="1" applyAlignment="1">
      <alignment horizontal="left" vertical="top" wrapText="1"/>
    </xf>
    <xf numFmtId="0" fontId="3" fillId="0" borderId="4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center" vertical="top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21" fillId="7" borderId="27" xfId="0" applyFont="1" applyFill="1" applyBorder="1" applyAlignment="1">
      <alignment horizontal="center" vertical="center"/>
    </xf>
    <xf numFmtId="0" fontId="21" fillId="7" borderId="28" xfId="0" applyFont="1" applyFill="1" applyBorder="1" applyAlignment="1">
      <alignment horizontal="center" vertical="center"/>
    </xf>
    <xf numFmtId="0" fontId="21" fillId="7" borderId="37" xfId="0" applyFont="1" applyFill="1" applyBorder="1" applyAlignment="1">
      <alignment horizontal="center" vertical="center"/>
    </xf>
    <xf numFmtId="0" fontId="21" fillId="7" borderId="4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2" xfId="0" applyFont="1" applyBorder="1" applyAlignment="1">
      <alignment horizontal="center" wrapText="1"/>
    </xf>
    <xf numFmtId="0" fontId="5" fillId="0" borderId="53" xfId="0" applyFont="1" applyBorder="1" applyAlignment="1">
      <alignment horizontal="center" wrapText="1"/>
    </xf>
    <xf numFmtId="0" fontId="5" fillId="0" borderId="63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left"/>
    </xf>
    <xf numFmtId="0" fontId="2" fillId="0" borderId="25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0" fontId="2" fillId="0" borderId="32" xfId="0" applyFont="1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32" xfId="0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4" xfId="0" applyFont="1" applyBorder="1" applyAlignment="1">
      <alignment horizontal="center" wrapText="1"/>
    </xf>
    <xf numFmtId="0" fontId="2" fillId="0" borderId="25" xfId="0" applyFont="1" applyBorder="1" applyAlignment="1">
      <alignment horizontal="center" wrapText="1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3" xfId="0" applyBorder="1" applyAlignment="1">
      <alignment horizontal="center"/>
    </xf>
    <xf numFmtId="0" fontId="2" fillId="0" borderId="31" xfId="0" applyFont="1" applyBorder="1" applyAlignment="1">
      <alignment horizontal="left"/>
    </xf>
    <xf numFmtId="0" fontId="0" fillId="0" borderId="35" xfId="0" applyBorder="1" applyAlignment="1">
      <alignment horizontal="center" wrapText="1"/>
    </xf>
    <xf numFmtId="0" fontId="0" fillId="0" borderId="36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0" fontId="2" fillId="0" borderId="19" xfId="0" applyFont="1" applyBorder="1" applyAlignment="1">
      <alignment horizontal="left"/>
    </xf>
    <xf numFmtId="0" fontId="2" fillId="0" borderId="2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1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0" fillId="0" borderId="20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Organizational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Score!$D$6</c:f>
              <c:strCache>
                <c:ptCount val="1"/>
                <c:pt idx="0">
                  <c:v>Organizational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(Score!$F$4,Score!$H$4,Score!$J$4,Score!$L$4,Score!$N$4)</c:f>
              <c:strCache>
                <c:ptCount val="5"/>
                <c:pt idx="0">
                  <c:v>Pilot</c:v>
                </c:pt>
                <c:pt idx="1">
                  <c:v>Q1</c:v>
                </c:pt>
                <c:pt idx="2">
                  <c:v>Q2</c:v>
                </c:pt>
                <c:pt idx="3">
                  <c:v>Q3</c:v>
                </c:pt>
                <c:pt idx="4">
                  <c:v>Q4</c:v>
                </c:pt>
              </c:strCache>
            </c:strRef>
          </c:cat>
          <c:val>
            <c:numRef>
              <c:f>(Score!$F$6,Score!$H$6,Score!$J$6,Score!$L$6,Score!$N$6)</c:f>
              <c:numCache>
                <c:formatCode>0.0</c:formatCode>
                <c:ptCount val="5"/>
                <c:pt idx="0">
                  <c:v>0.57999999999999996</c:v>
                </c:pt>
                <c:pt idx="1">
                  <c:v>0.57999999999999996</c:v>
                </c:pt>
                <c:pt idx="2">
                  <c:v>0.5</c:v>
                </c:pt>
                <c:pt idx="3">
                  <c:v>0.5</c:v>
                </c:pt>
                <c:pt idx="4" formatCode="General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F8-4E50-BC36-C49FEFE6DD5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-1990513424"/>
        <c:axId val="-1990512880"/>
      </c:barChart>
      <c:catAx>
        <c:axId val="-19905134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90512880"/>
        <c:crosses val="autoZero"/>
        <c:auto val="1"/>
        <c:lblAlgn val="ctr"/>
        <c:lblOffset val="100"/>
        <c:noMultiLvlLbl val="0"/>
      </c:catAx>
      <c:valAx>
        <c:axId val="-199051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90513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Self Development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Score!$D$7</c:f>
              <c:strCache>
                <c:ptCount val="1"/>
                <c:pt idx="0">
                  <c:v>Self Development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(Score!$F$4,Score!$H$4,Score!$J$4,Score!$L$4,Score!$N$4)</c:f>
              <c:strCache>
                <c:ptCount val="5"/>
                <c:pt idx="0">
                  <c:v>Pilot</c:v>
                </c:pt>
                <c:pt idx="1">
                  <c:v>Q1</c:v>
                </c:pt>
                <c:pt idx="2">
                  <c:v>Q2</c:v>
                </c:pt>
                <c:pt idx="3">
                  <c:v>Q3</c:v>
                </c:pt>
                <c:pt idx="4">
                  <c:v>Q4</c:v>
                </c:pt>
              </c:strCache>
            </c:strRef>
          </c:cat>
          <c:val>
            <c:numRef>
              <c:f>(Score!$F$7,Score!$H$7,Score!$J$7,Score!$L$7,Score!$N$7)</c:f>
              <c:numCache>
                <c:formatCode>0.0</c:formatCode>
                <c:ptCount val="5"/>
                <c:pt idx="0">
                  <c:v>0.60000000000000009</c:v>
                </c:pt>
                <c:pt idx="1">
                  <c:v>0.52</c:v>
                </c:pt>
                <c:pt idx="2">
                  <c:v>0.45</c:v>
                </c:pt>
                <c:pt idx="3">
                  <c:v>0.5</c:v>
                </c:pt>
                <c:pt idx="4" formatCode="General">
                  <c:v>0.51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38-476A-AD58-07E122D36C6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-1800055040"/>
        <c:axId val="-1811016112"/>
      </c:barChart>
      <c:catAx>
        <c:axId val="-18000550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11016112"/>
        <c:crosses val="autoZero"/>
        <c:auto val="1"/>
        <c:lblAlgn val="ctr"/>
        <c:lblOffset val="100"/>
        <c:noMultiLvlLbl val="0"/>
      </c:catAx>
      <c:valAx>
        <c:axId val="-181101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0005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Developing Others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Score!$D$8</c:f>
              <c:strCache>
                <c:ptCount val="1"/>
                <c:pt idx="0">
                  <c:v>Developing Others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(Score!$F$4,Score!$H$4,Score!$J$4,Score!$L$4,Score!$N$4)</c:f>
              <c:strCache>
                <c:ptCount val="5"/>
                <c:pt idx="0">
                  <c:v>Pilot</c:v>
                </c:pt>
                <c:pt idx="1">
                  <c:v>Q1</c:v>
                </c:pt>
                <c:pt idx="2">
                  <c:v>Q2</c:v>
                </c:pt>
                <c:pt idx="3">
                  <c:v>Q3</c:v>
                </c:pt>
                <c:pt idx="4">
                  <c:v>Q4</c:v>
                </c:pt>
              </c:strCache>
            </c:strRef>
          </c:cat>
          <c:val>
            <c:numRef>
              <c:f>(Score!$F$8,Score!$H$8,Score!$J$8,Score!$L$8,Score!$N$8)</c:f>
              <c:numCache>
                <c:formatCode>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5C-410E-B00A-74774EB32E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-1811015568"/>
        <c:axId val="-1811018288"/>
      </c:barChart>
      <c:catAx>
        <c:axId val="-18110155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11018288"/>
        <c:crosses val="autoZero"/>
        <c:auto val="1"/>
        <c:lblAlgn val="ctr"/>
        <c:lblOffset val="100"/>
        <c:noMultiLvlLbl val="0"/>
      </c:catAx>
      <c:valAx>
        <c:axId val="-181101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11015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Score!$D$5</c:f>
              <c:strCache>
                <c:ptCount val="1"/>
                <c:pt idx="0">
                  <c:v>Functional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(Score!$F$4,Score!$H$4,Score!$J$4,Score!$L$4,Score!$N$4)</c:f>
              <c:strCache>
                <c:ptCount val="5"/>
                <c:pt idx="0">
                  <c:v>Pilot</c:v>
                </c:pt>
                <c:pt idx="1">
                  <c:v>Q1</c:v>
                </c:pt>
                <c:pt idx="2">
                  <c:v>Q2</c:v>
                </c:pt>
                <c:pt idx="3">
                  <c:v>Q3</c:v>
                </c:pt>
                <c:pt idx="4">
                  <c:v>Q4</c:v>
                </c:pt>
              </c:strCache>
            </c:strRef>
          </c:cat>
          <c:val>
            <c:numRef>
              <c:f>(Score!$F$5,Score!$H$5,Score!$J$5,Score!$L$5,Score!$N$5)</c:f>
              <c:numCache>
                <c:formatCode>0.0</c:formatCode>
                <c:ptCount val="5"/>
                <c:pt idx="0">
                  <c:v>1.8599999999999997</c:v>
                </c:pt>
                <c:pt idx="1">
                  <c:v>1.89</c:v>
                </c:pt>
                <c:pt idx="2">
                  <c:v>2.0249999999999995</c:v>
                </c:pt>
                <c:pt idx="3">
                  <c:v>1.9049999999999998</c:v>
                </c:pt>
                <c:pt idx="4" formatCode="General">
                  <c:v>1.7999999999999998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41-45CC-BF7B-665544F4785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-1811015024"/>
        <c:axId val="-1811018832"/>
      </c:barChart>
      <c:catAx>
        <c:axId val="-18110150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11018832"/>
        <c:crosses val="autoZero"/>
        <c:auto val="1"/>
        <c:lblAlgn val="ctr"/>
        <c:lblOffset val="100"/>
        <c:noMultiLvlLbl val="0"/>
      </c:catAx>
      <c:valAx>
        <c:axId val="-181101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1101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emf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9050" cy="44450"/>
    <xdr:pic>
      <xdr:nvPicPr>
        <xdr:cNvPr id="5" name="Picture 4">
          <a:extLst>
            <a:ext uri="{FF2B5EF4-FFF2-40B4-BE49-F238E27FC236}">
              <a16:creationId xmlns:a16="http://schemas.microsoft.com/office/drawing/2014/main" id="{18CCDA3F-8840-47E7-971C-6E7AE4B7C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9050" cy="4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215447</xdr:colOff>
      <xdr:row>2</xdr:row>
      <xdr:rowOff>49375</xdr:rowOff>
    </xdr:from>
    <xdr:to>
      <xdr:col>2</xdr:col>
      <xdr:colOff>2730501</xdr:colOff>
      <xdr:row>7</xdr:row>
      <xdr:rowOff>177133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FCBC4D-07F4-1C9B-A3F6-330093A67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55572" y="859000"/>
          <a:ext cx="2515054" cy="1778758"/>
        </a:xfrm>
        <a:prstGeom prst="rect">
          <a:avLst/>
        </a:prstGeom>
      </xdr:spPr>
    </xdr:pic>
    <xdr:clientData/>
  </xdr:twoCellAnchor>
  <xdr:twoCellAnchor editAs="oneCell">
    <xdr:from>
      <xdr:col>1</xdr:col>
      <xdr:colOff>819149</xdr:colOff>
      <xdr:row>1</xdr:row>
      <xdr:rowOff>142874</xdr:rowOff>
    </xdr:from>
    <xdr:to>
      <xdr:col>1</xdr:col>
      <xdr:colOff>2013286</xdr:colOff>
      <xdr:row>3</xdr:row>
      <xdr:rowOff>219075</xdr:rowOff>
    </xdr:to>
    <xdr:pic>
      <xdr:nvPicPr>
        <xdr:cNvPr id="3" name="Picture 2" descr="logo.png">
          <a:extLst>
            <a:ext uri="{FF2B5EF4-FFF2-40B4-BE49-F238E27FC236}">
              <a16:creationId xmlns:a16="http://schemas.microsoft.com/office/drawing/2014/main" id="{BCA31A90-BC9E-4198-9F37-9A54DFBF2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70024" y="412749"/>
          <a:ext cx="1194137" cy="15875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19049</xdr:colOff>
      <xdr:row>11</xdr:row>
      <xdr:rowOff>19051</xdr:rowOff>
    </xdr:from>
    <xdr:to>
      <xdr:col>15</xdr:col>
      <xdr:colOff>114300</xdr:colOff>
      <xdr:row>25</xdr:row>
      <xdr:rowOff>152401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219075</xdr:colOff>
      <xdr:row>26</xdr:row>
      <xdr:rowOff>180975</xdr:rowOff>
    </xdr:from>
    <xdr:to>
      <xdr:col>7</xdr:col>
      <xdr:colOff>361951</xdr:colOff>
      <xdr:row>41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47625</xdr:colOff>
      <xdr:row>27</xdr:row>
      <xdr:rowOff>0</xdr:rowOff>
    </xdr:from>
    <xdr:to>
      <xdr:col>15</xdr:col>
      <xdr:colOff>219075</xdr:colOff>
      <xdr:row>41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238126</xdr:colOff>
      <xdr:row>11</xdr:row>
      <xdr:rowOff>28574</xdr:rowOff>
    </xdr:from>
    <xdr:to>
      <xdr:col>7</xdr:col>
      <xdr:colOff>342901</xdr:colOff>
      <xdr:row>26</xdr:row>
      <xdr:rowOff>19049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3</xdr:col>
      <xdr:colOff>0</xdr:colOff>
      <xdr:row>2</xdr:row>
      <xdr:rowOff>0</xdr:rowOff>
    </xdr:from>
    <xdr:ext cx="19050" cy="44450"/>
    <xdr:pic>
      <xdr:nvPicPr>
        <xdr:cNvPr id="3" name="Picture 2">
          <a:extLst>
            <a:ext uri="{FF2B5EF4-FFF2-40B4-BE49-F238E27FC236}">
              <a16:creationId xmlns:a16="http://schemas.microsoft.com/office/drawing/2014/main" id="{DCEDD98F-2568-4BEC-9B50-196EE8937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0"/>
          <a:ext cx="19050" cy="4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AG47"/>
  <sheetViews>
    <sheetView tabSelected="1" topLeftCell="A4" zoomScale="65" zoomScaleNormal="60" zoomScaleSheetLayoutView="56" workbookViewId="0">
      <pane xSplit="4" topLeftCell="E1" activePane="topRight" state="frozen"/>
      <selection activeCell="A2" sqref="A2"/>
      <selection pane="topRight" activeCell="G7" sqref="G7"/>
    </sheetView>
  </sheetViews>
  <sheetFormatPr defaultColWidth="8.7109375" defaultRowHeight="21"/>
  <cols>
    <col min="1" max="1" width="9.7109375" style="78" customWidth="1"/>
    <col min="2" max="2" width="43.140625" style="78" customWidth="1"/>
    <col min="3" max="3" width="47.42578125" style="78" customWidth="1"/>
    <col min="4" max="4" width="36.7109375" style="78" customWidth="1"/>
    <col min="5" max="5" width="32.140625" style="78" customWidth="1"/>
    <col min="6" max="6" width="23.7109375" style="64" customWidth="1"/>
    <col min="7" max="7" width="31.140625" style="78" bestFit="1" customWidth="1"/>
    <col min="8" max="8" width="32.140625" style="78" customWidth="1"/>
    <col min="9" max="9" width="19" style="78" bestFit="1" customWidth="1"/>
    <col min="10" max="10" width="38.7109375" style="78" customWidth="1"/>
    <col min="11" max="11" width="8.140625" style="78" customWidth="1"/>
    <col min="12" max="12" width="10" style="78" customWidth="1"/>
    <col min="13" max="13" width="34.42578125" style="78" customWidth="1"/>
    <col min="14" max="14" width="8.42578125" style="78" customWidth="1"/>
    <col min="15" max="15" width="10.140625" style="78" bestFit="1" customWidth="1"/>
    <col min="16" max="16" width="37.42578125" style="78" customWidth="1"/>
    <col min="17" max="17" width="8.7109375" style="78" customWidth="1"/>
    <col min="18" max="18" width="10.140625" style="78" bestFit="1" customWidth="1"/>
    <col min="19" max="19" width="29.140625" style="78" customWidth="1"/>
    <col min="20" max="20" width="13.140625" style="78" bestFit="1" customWidth="1"/>
    <col min="21" max="21" width="4" style="78" bestFit="1" customWidth="1"/>
    <col min="22" max="22" width="5.140625" style="79" bestFit="1" customWidth="1"/>
    <col min="23" max="23" width="22.7109375" style="78" bestFit="1" customWidth="1"/>
    <col min="24" max="24" width="5.140625" style="79" bestFit="1" customWidth="1"/>
    <col min="25" max="25" width="6.140625" style="79" bestFit="1" customWidth="1"/>
    <col min="26" max="26" width="22.7109375" style="78" bestFit="1" customWidth="1"/>
    <col min="27" max="27" width="5.140625" style="79" bestFit="1" customWidth="1"/>
    <col min="28" max="28" width="3.140625" style="79" bestFit="1" customWidth="1"/>
    <col min="29" max="29" width="22.7109375" style="78" bestFit="1" customWidth="1"/>
    <col min="30" max="30" width="4" style="79" bestFit="1" customWidth="1"/>
    <col min="31" max="31" width="3.140625" style="79" bestFit="1" customWidth="1"/>
    <col min="32" max="32" width="22.7109375" style="79" bestFit="1" customWidth="1"/>
    <col min="33" max="33" width="15.140625" style="78" bestFit="1" customWidth="1"/>
    <col min="34" max="16384" width="8.7109375" style="78"/>
  </cols>
  <sheetData>
    <row r="1" spans="2:33" ht="21.75" thickBot="1"/>
    <row r="2" spans="2:33" ht="95.25" thickBot="1">
      <c r="B2" s="197"/>
      <c r="C2" s="185" t="s">
        <v>64</v>
      </c>
      <c r="D2" s="185" t="s">
        <v>133</v>
      </c>
      <c r="E2" s="185"/>
      <c r="F2" s="186" t="s">
        <v>67</v>
      </c>
      <c r="G2" s="185" t="s">
        <v>134</v>
      </c>
      <c r="H2" s="187" t="s">
        <v>58</v>
      </c>
      <c r="I2" s="188" t="s">
        <v>72</v>
      </c>
      <c r="J2" s="181" t="s">
        <v>65</v>
      </c>
      <c r="K2" s="77"/>
      <c r="N2" s="77"/>
      <c r="O2" s="77"/>
      <c r="P2" s="77"/>
      <c r="Q2" s="77"/>
      <c r="R2" s="77"/>
      <c r="S2" s="77"/>
      <c r="V2" s="78"/>
      <c r="X2" s="78"/>
      <c r="Y2" s="78"/>
      <c r="AA2" s="78"/>
      <c r="AB2" s="78"/>
      <c r="AD2" s="78"/>
      <c r="AE2" s="78"/>
      <c r="AF2" s="78"/>
    </row>
    <row r="3" spans="2:33" ht="45" customHeight="1">
      <c r="B3" s="197"/>
      <c r="C3" s="198" t="s">
        <v>68</v>
      </c>
      <c r="D3" s="84" t="s">
        <v>0</v>
      </c>
      <c r="E3" s="189" t="s">
        <v>130</v>
      </c>
      <c r="F3" s="84" t="s">
        <v>66</v>
      </c>
      <c r="G3" s="65"/>
      <c r="H3" s="84" t="s">
        <v>55</v>
      </c>
      <c r="I3" s="62"/>
      <c r="J3" s="182">
        <f>Score!F9</f>
        <v>3.0399999999999996</v>
      </c>
      <c r="K3" s="77"/>
      <c r="L3" s="77"/>
      <c r="N3" s="77"/>
      <c r="O3" s="77"/>
      <c r="P3" s="77"/>
      <c r="Q3" s="77"/>
      <c r="R3" s="77"/>
      <c r="S3" s="77"/>
      <c r="V3" s="78"/>
      <c r="X3" s="78"/>
      <c r="Y3" s="78"/>
      <c r="AA3" s="78"/>
      <c r="AB3" s="78"/>
      <c r="AD3" s="78"/>
      <c r="AE3" s="78"/>
      <c r="AF3" s="78"/>
    </row>
    <row r="4" spans="2:33">
      <c r="B4" s="197"/>
      <c r="C4" s="198"/>
      <c r="D4" s="84" t="s">
        <v>29</v>
      </c>
      <c r="E4" s="190">
        <v>44409</v>
      </c>
      <c r="F4" s="84" t="s">
        <v>92</v>
      </c>
      <c r="G4" s="180" t="s">
        <v>147</v>
      </c>
      <c r="H4" s="84" t="s">
        <v>55</v>
      </c>
      <c r="I4" s="62" t="s">
        <v>140</v>
      </c>
      <c r="J4" s="183">
        <f>Score!H9</f>
        <v>2.9899999999999998</v>
      </c>
      <c r="K4" s="77"/>
      <c r="L4" s="77"/>
      <c r="N4" s="77"/>
      <c r="O4" s="77"/>
      <c r="P4" s="77"/>
      <c r="Q4" s="77"/>
      <c r="R4" s="77"/>
      <c r="S4" s="77"/>
      <c r="V4" s="78"/>
      <c r="X4" s="78"/>
      <c r="Y4" s="78"/>
      <c r="AA4" s="78"/>
      <c r="AB4" s="78"/>
      <c r="AD4" s="78"/>
      <c r="AE4" s="78"/>
      <c r="AF4" s="78"/>
    </row>
    <row r="5" spans="2:33" ht="21" customHeight="1">
      <c r="B5" s="197"/>
      <c r="C5" s="198"/>
      <c r="D5" s="84" t="s">
        <v>2</v>
      </c>
      <c r="E5" s="189" t="s">
        <v>107</v>
      </c>
      <c r="F5" s="84" t="s">
        <v>93</v>
      </c>
      <c r="G5" s="180">
        <v>45574</v>
      </c>
      <c r="H5" s="84" t="s">
        <v>55</v>
      </c>
      <c r="I5" s="62" t="s">
        <v>149</v>
      </c>
      <c r="J5" s="182">
        <f>Score!J9</f>
        <v>2.9749999999999996</v>
      </c>
      <c r="K5" s="77"/>
      <c r="L5" s="77"/>
      <c r="M5" s="111" t="s">
        <v>69</v>
      </c>
      <c r="N5" s="77"/>
      <c r="O5" s="77"/>
      <c r="P5" s="77"/>
      <c r="Q5" s="77"/>
      <c r="R5" s="77"/>
      <c r="S5" s="77"/>
      <c r="V5" s="78"/>
      <c r="X5" s="78"/>
      <c r="Y5" s="78"/>
      <c r="AA5" s="78"/>
      <c r="AB5" s="78"/>
      <c r="AD5" s="78"/>
      <c r="AE5" s="78"/>
      <c r="AF5" s="78"/>
    </row>
    <row r="6" spans="2:33">
      <c r="B6" s="197"/>
      <c r="C6" s="198"/>
      <c r="D6" s="84" t="s">
        <v>4</v>
      </c>
      <c r="E6" s="189" t="s">
        <v>131</v>
      </c>
      <c r="F6" s="84" t="s">
        <v>94</v>
      </c>
      <c r="G6" s="145">
        <v>45666</v>
      </c>
      <c r="H6" s="84" t="s">
        <v>55</v>
      </c>
      <c r="I6" s="62" t="s">
        <v>140</v>
      </c>
      <c r="J6" s="183">
        <f>Score!L9</f>
        <v>2.9049999999999998</v>
      </c>
      <c r="K6" s="77"/>
      <c r="L6" s="77"/>
      <c r="M6" s="86" t="s">
        <v>70</v>
      </c>
      <c r="N6" s="77"/>
      <c r="O6" s="77"/>
      <c r="P6" s="77"/>
      <c r="Q6" s="77"/>
      <c r="R6" s="77"/>
      <c r="S6" s="77"/>
      <c r="V6" s="78"/>
      <c r="X6" s="78"/>
      <c r="Y6" s="78"/>
      <c r="AA6" s="78"/>
      <c r="AB6" s="78"/>
      <c r="AD6" s="78"/>
      <c r="AE6" s="78"/>
      <c r="AF6" s="78"/>
    </row>
    <row r="7" spans="2:33" ht="21.75" thickBot="1">
      <c r="B7" s="197"/>
      <c r="C7" s="198"/>
      <c r="D7" s="84" t="s">
        <v>6</v>
      </c>
      <c r="E7" s="189" t="s">
        <v>132</v>
      </c>
      <c r="F7" s="84" t="s">
        <v>95</v>
      </c>
      <c r="G7" s="145">
        <v>45755</v>
      </c>
      <c r="H7" s="84" t="s">
        <v>55</v>
      </c>
      <c r="I7" s="62" t="s">
        <v>164</v>
      </c>
      <c r="J7" s="184">
        <f>Score!N9</f>
        <v>2.8099999999999996</v>
      </c>
      <c r="K7" s="77"/>
      <c r="L7" s="77"/>
      <c r="M7" s="60" t="s">
        <v>71</v>
      </c>
      <c r="N7" s="77"/>
      <c r="O7" s="77"/>
      <c r="P7" s="77"/>
      <c r="Q7" s="77"/>
      <c r="R7" s="77"/>
      <c r="S7" s="77"/>
      <c r="V7" s="78"/>
      <c r="X7" s="78"/>
      <c r="Y7" s="78"/>
      <c r="AA7" s="78"/>
      <c r="AB7" s="78"/>
      <c r="AD7" s="78"/>
      <c r="AE7" s="78"/>
      <c r="AF7" s="78"/>
    </row>
    <row r="9" spans="2:33" s="64" customFormat="1">
      <c r="B9" s="196" t="s">
        <v>10</v>
      </c>
      <c r="C9" s="196"/>
      <c r="D9" s="196"/>
      <c r="E9" s="196"/>
      <c r="F9" s="196"/>
      <c r="G9" s="196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78"/>
      <c r="V9" s="78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</row>
    <row r="10" spans="2:33" s="64" customFormat="1">
      <c r="B10" s="195" t="s">
        <v>11</v>
      </c>
      <c r="C10" s="195"/>
      <c r="D10" s="85"/>
      <c r="E10" s="85"/>
      <c r="F10" s="87">
        <v>0.6</v>
      </c>
      <c r="G10" s="85"/>
      <c r="H10" s="85"/>
      <c r="I10" s="87">
        <v>0.6</v>
      </c>
      <c r="J10" s="91"/>
      <c r="K10" s="91"/>
      <c r="L10" s="87">
        <v>0.6</v>
      </c>
      <c r="M10" s="91"/>
      <c r="N10" s="91"/>
      <c r="O10" s="87">
        <v>0.6</v>
      </c>
      <c r="P10" s="91"/>
      <c r="Q10" s="91"/>
      <c r="R10" s="87">
        <v>0.6</v>
      </c>
    </row>
    <row r="11" spans="2:33" ht="21.75" thickBot="1"/>
    <row r="12" spans="2:33" ht="60" customHeight="1">
      <c r="B12" s="129" t="s">
        <v>12</v>
      </c>
      <c r="C12" s="130" t="s">
        <v>13</v>
      </c>
      <c r="D12" s="130" t="s">
        <v>27</v>
      </c>
      <c r="E12" s="130" t="s">
        <v>14</v>
      </c>
      <c r="F12" s="130" t="s">
        <v>26</v>
      </c>
      <c r="G12" s="130" t="s">
        <v>53</v>
      </c>
      <c r="H12" s="130" t="s">
        <v>14</v>
      </c>
      <c r="I12" s="130" t="s">
        <v>74</v>
      </c>
      <c r="J12" s="130" t="s">
        <v>53</v>
      </c>
      <c r="K12" s="130" t="s">
        <v>14</v>
      </c>
      <c r="L12" s="130" t="s">
        <v>76</v>
      </c>
      <c r="M12" s="130" t="s">
        <v>53</v>
      </c>
      <c r="N12" s="130" t="s">
        <v>14</v>
      </c>
      <c r="O12" s="130" t="s">
        <v>77</v>
      </c>
      <c r="P12" s="130" t="s">
        <v>53</v>
      </c>
      <c r="Q12" s="130" t="s">
        <v>14</v>
      </c>
      <c r="R12" s="130" t="s">
        <v>78</v>
      </c>
      <c r="S12" s="130" t="s">
        <v>53</v>
      </c>
      <c r="T12" s="131" t="s">
        <v>18</v>
      </c>
      <c r="V12" s="78"/>
      <c r="X12" s="78"/>
      <c r="Y12" s="78"/>
      <c r="AA12" s="78"/>
      <c r="AB12" s="78"/>
      <c r="AD12" s="78"/>
      <c r="AE12" s="78"/>
      <c r="AF12" s="78"/>
    </row>
    <row r="13" spans="2:33" s="64" customFormat="1">
      <c r="B13" s="132"/>
      <c r="C13" s="133"/>
      <c r="D13" s="133"/>
      <c r="E13" s="134">
        <f>SUM(E14:E42)</f>
        <v>0.99999999999999989</v>
      </c>
      <c r="F13" s="133"/>
      <c r="G13" s="134"/>
      <c r="H13" s="134">
        <f>SUM(H14:H42)</f>
        <v>0.99999999999999989</v>
      </c>
      <c r="I13" s="133"/>
      <c r="J13" s="134" t="s">
        <v>75</v>
      </c>
      <c r="K13" s="134">
        <f>SUM(K14:K42)</f>
        <v>0.99999999999999989</v>
      </c>
      <c r="L13" s="133"/>
      <c r="M13" s="133"/>
      <c r="N13" s="134">
        <f>SUM(N14:N42)</f>
        <v>0.99999999999999989</v>
      </c>
      <c r="O13" s="133"/>
      <c r="P13" s="133"/>
      <c r="Q13" s="134">
        <f>SUM(Q14:Q42)</f>
        <v>0.99999999999999989</v>
      </c>
      <c r="R13" s="133"/>
      <c r="S13" s="133"/>
      <c r="T13" s="135"/>
    </row>
    <row r="14" spans="2:33" s="64" customFormat="1">
      <c r="B14" s="146"/>
      <c r="C14" s="146"/>
      <c r="D14" s="146"/>
      <c r="E14" s="66"/>
      <c r="F14" s="62"/>
      <c r="G14" s="62"/>
      <c r="H14" s="66"/>
      <c r="I14" s="62"/>
      <c r="J14" s="66"/>
      <c r="K14" s="66"/>
      <c r="L14" s="62"/>
      <c r="M14" s="62"/>
      <c r="N14" s="66"/>
      <c r="O14" s="62"/>
      <c r="P14" s="62"/>
      <c r="Q14" s="66"/>
      <c r="R14" s="62"/>
      <c r="S14" s="62"/>
      <c r="T14" s="144" t="e">
        <f>AVERAGE(I14,L14,O14,R14)</f>
        <v>#DIV/0!</v>
      </c>
    </row>
    <row r="15" spans="2:33" s="64" customFormat="1" ht="63">
      <c r="B15" s="62" t="s">
        <v>108</v>
      </c>
      <c r="C15" s="62" t="s">
        <v>109</v>
      </c>
      <c r="D15" s="62" t="s">
        <v>96</v>
      </c>
      <c r="E15" s="66">
        <v>0.3</v>
      </c>
      <c r="F15" s="62">
        <v>3.5</v>
      </c>
      <c r="G15" s="66" t="s">
        <v>106</v>
      </c>
      <c r="H15" s="66">
        <v>0.3</v>
      </c>
      <c r="I15" s="62">
        <v>3.5</v>
      </c>
      <c r="J15" s="66" t="s">
        <v>141</v>
      </c>
      <c r="K15" s="66">
        <v>0.3</v>
      </c>
      <c r="L15" s="62">
        <v>3.5</v>
      </c>
      <c r="M15" s="66" t="s">
        <v>158</v>
      </c>
      <c r="N15" s="66">
        <v>0.3</v>
      </c>
      <c r="O15" s="62">
        <v>3.5</v>
      </c>
      <c r="P15" s="66" t="s">
        <v>157</v>
      </c>
      <c r="Q15" s="66">
        <v>0.3</v>
      </c>
      <c r="R15" s="62">
        <v>3.25</v>
      </c>
      <c r="S15" s="62" t="s">
        <v>165</v>
      </c>
      <c r="T15" s="144">
        <f t="shared" ref="T15:T20" si="0">AVERAGE(I15,L15,O15,F15)</f>
        <v>3.5</v>
      </c>
    </row>
    <row r="16" spans="2:33" s="64" customFormat="1" ht="42">
      <c r="B16" s="62" t="s">
        <v>110</v>
      </c>
      <c r="C16" s="62" t="s">
        <v>111</v>
      </c>
      <c r="D16" s="62" t="s">
        <v>112</v>
      </c>
      <c r="E16" s="66">
        <v>0.3</v>
      </c>
      <c r="F16" s="62">
        <v>2</v>
      </c>
      <c r="G16" s="62" t="s">
        <v>129</v>
      </c>
      <c r="H16" s="66">
        <v>0.3</v>
      </c>
      <c r="I16" s="62">
        <v>2.5</v>
      </c>
      <c r="J16" s="62" t="s">
        <v>148</v>
      </c>
      <c r="K16" s="66">
        <v>0.3</v>
      </c>
      <c r="L16" s="62">
        <v>3</v>
      </c>
      <c r="M16" s="62" t="s">
        <v>150</v>
      </c>
      <c r="N16" s="66">
        <v>0.3</v>
      </c>
      <c r="O16" s="62">
        <v>2.5</v>
      </c>
      <c r="P16" s="62" t="s">
        <v>159</v>
      </c>
      <c r="Q16" s="66">
        <v>0.3</v>
      </c>
      <c r="R16" s="62">
        <v>2.25</v>
      </c>
      <c r="S16" s="62" t="s">
        <v>166</v>
      </c>
      <c r="T16" s="144">
        <f t="shared" si="0"/>
        <v>2.5</v>
      </c>
    </row>
    <row r="17" spans="2:20" s="64" customFormat="1" ht="63">
      <c r="B17" s="62" t="s">
        <v>113</v>
      </c>
      <c r="C17" s="62" t="s">
        <v>142</v>
      </c>
      <c r="D17" s="62" t="s">
        <v>97</v>
      </c>
      <c r="E17" s="66">
        <v>0.1</v>
      </c>
      <c r="F17" s="62">
        <v>3.5</v>
      </c>
      <c r="G17" s="62" t="s">
        <v>122</v>
      </c>
      <c r="H17" s="66">
        <v>0.1</v>
      </c>
      <c r="I17" s="62">
        <v>3</v>
      </c>
      <c r="J17" s="62" t="s">
        <v>143</v>
      </c>
      <c r="K17" s="66">
        <v>0.1</v>
      </c>
      <c r="L17" s="62">
        <v>3.5</v>
      </c>
      <c r="M17" s="62" t="s">
        <v>155</v>
      </c>
      <c r="N17" s="66">
        <v>0.1</v>
      </c>
      <c r="O17" s="62">
        <v>3</v>
      </c>
      <c r="P17" s="62" t="s">
        <v>160</v>
      </c>
      <c r="Q17" s="66">
        <v>0.1</v>
      </c>
      <c r="R17" s="62">
        <v>3</v>
      </c>
      <c r="S17" s="62" t="s">
        <v>167</v>
      </c>
      <c r="T17" s="144">
        <f t="shared" si="0"/>
        <v>3.25</v>
      </c>
    </row>
    <row r="18" spans="2:20" s="64" customFormat="1" ht="42">
      <c r="B18" s="62" t="s">
        <v>98</v>
      </c>
      <c r="C18" s="62" t="s">
        <v>114</v>
      </c>
      <c r="D18" s="62" t="s">
        <v>115</v>
      </c>
      <c r="E18" s="66">
        <v>0.1</v>
      </c>
      <c r="F18" s="62">
        <v>4</v>
      </c>
      <c r="G18" s="62" t="s">
        <v>123</v>
      </c>
      <c r="H18" s="66">
        <v>0.1</v>
      </c>
      <c r="I18" s="62">
        <v>4</v>
      </c>
      <c r="J18" s="62" t="s">
        <v>144</v>
      </c>
      <c r="K18" s="66">
        <v>0.1</v>
      </c>
      <c r="L18" s="62">
        <v>4</v>
      </c>
      <c r="M18" s="62" t="s">
        <v>151</v>
      </c>
      <c r="N18" s="66">
        <v>0.1</v>
      </c>
      <c r="O18" s="62">
        <v>4</v>
      </c>
      <c r="P18" s="62" t="s">
        <v>151</v>
      </c>
      <c r="Q18" s="66">
        <v>0.1</v>
      </c>
      <c r="R18" s="62">
        <v>4</v>
      </c>
      <c r="S18" s="62" t="s">
        <v>167</v>
      </c>
      <c r="T18" s="144">
        <f t="shared" si="0"/>
        <v>4</v>
      </c>
    </row>
    <row r="19" spans="2:20" s="64" customFormat="1" ht="84">
      <c r="B19" s="62" t="s">
        <v>136</v>
      </c>
      <c r="C19" s="62" t="s">
        <v>138</v>
      </c>
      <c r="D19" s="62" t="s">
        <v>99</v>
      </c>
      <c r="E19" s="66">
        <v>0.1</v>
      </c>
      <c r="F19" s="62">
        <v>4</v>
      </c>
      <c r="G19" s="62" t="s">
        <v>127</v>
      </c>
      <c r="H19" s="66">
        <v>0.1</v>
      </c>
      <c r="I19" s="62">
        <v>4</v>
      </c>
      <c r="J19" s="62" t="s">
        <v>127</v>
      </c>
      <c r="K19" s="66">
        <v>0.1</v>
      </c>
      <c r="L19" s="62">
        <v>4</v>
      </c>
      <c r="M19" s="62" t="s">
        <v>127</v>
      </c>
      <c r="N19" s="66">
        <v>0.1</v>
      </c>
      <c r="O19" s="62">
        <v>4</v>
      </c>
      <c r="P19" s="62" t="s">
        <v>127</v>
      </c>
      <c r="Q19" s="66">
        <v>0.1</v>
      </c>
      <c r="R19" s="62">
        <v>3.75</v>
      </c>
      <c r="S19" s="62" t="s">
        <v>168</v>
      </c>
      <c r="T19" s="144">
        <f t="shared" si="0"/>
        <v>4</v>
      </c>
    </row>
    <row r="20" spans="2:20" s="64" customFormat="1" ht="84">
      <c r="B20" s="62" t="s">
        <v>100</v>
      </c>
      <c r="C20" s="62" t="s">
        <v>101</v>
      </c>
      <c r="D20" s="62" t="s">
        <v>102</v>
      </c>
      <c r="E20" s="80">
        <v>0.1</v>
      </c>
      <c r="F20" s="62">
        <v>3</v>
      </c>
      <c r="G20" s="66" t="s">
        <v>128</v>
      </c>
      <c r="H20" s="80">
        <v>0.1</v>
      </c>
      <c r="I20" s="62">
        <v>2.5</v>
      </c>
      <c r="J20" s="66" t="s">
        <v>145</v>
      </c>
      <c r="K20" s="80">
        <v>0.1</v>
      </c>
      <c r="L20" s="62">
        <v>2.75</v>
      </c>
      <c r="M20" s="66" t="s">
        <v>152</v>
      </c>
      <c r="N20" s="80">
        <v>0.1</v>
      </c>
      <c r="O20" s="62">
        <v>2.75</v>
      </c>
      <c r="P20" s="194">
        <v>0.875</v>
      </c>
      <c r="Q20" s="80">
        <v>0.1</v>
      </c>
      <c r="R20" s="62">
        <v>2.75</v>
      </c>
      <c r="S20" s="66">
        <v>0.85</v>
      </c>
      <c r="T20" s="144">
        <f t="shared" si="0"/>
        <v>2.75</v>
      </c>
    </row>
    <row r="21" spans="2:20" s="64" customFormat="1">
      <c r="B21" s="62"/>
      <c r="C21" s="62"/>
      <c r="D21" s="62"/>
      <c r="E21" s="66"/>
      <c r="F21" s="62"/>
      <c r="G21" s="62"/>
      <c r="H21" s="66"/>
      <c r="I21" s="62"/>
      <c r="J21" s="66"/>
      <c r="K21" s="66"/>
      <c r="L21" s="62"/>
      <c r="M21" s="62"/>
      <c r="N21" s="80"/>
      <c r="O21" s="62"/>
      <c r="P21" s="62"/>
      <c r="Q21" s="80"/>
      <c r="R21" s="62"/>
      <c r="S21" s="62"/>
      <c r="T21" s="144" t="e">
        <f t="shared" ref="T21:T41" si="1">AVERAGE(I21,L21,O21,R21)</f>
        <v>#DIV/0!</v>
      </c>
    </row>
    <row r="22" spans="2:20" s="64" customFormat="1">
      <c r="B22" s="61"/>
      <c r="C22" s="61"/>
      <c r="D22" s="61"/>
      <c r="E22" s="66"/>
      <c r="F22" s="62"/>
      <c r="G22" s="62"/>
      <c r="H22" s="66"/>
      <c r="I22" s="62"/>
      <c r="J22" s="66"/>
      <c r="K22" s="66"/>
      <c r="L22" s="62"/>
      <c r="M22" s="62"/>
      <c r="N22" s="80"/>
      <c r="O22" s="62"/>
      <c r="P22" s="62"/>
      <c r="Q22" s="80"/>
      <c r="R22" s="62"/>
      <c r="S22" s="62"/>
      <c r="T22" s="144" t="e">
        <f t="shared" si="1"/>
        <v>#DIV/0!</v>
      </c>
    </row>
    <row r="23" spans="2:20" s="64" customFormat="1" ht="135.4" customHeight="1">
      <c r="B23" s="192"/>
      <c r="C23" s="191" t="s">
        <v>135</v>
      </c>
      <c r="D23" s="62"/>
      <c r="E23" s="66"/>
      <c r="F23" s="62"/>
      <c r="G23" s="62"/>
      <c r="H23" s="66"/>
      <c r="I23" s="62"/>
      <c r="J23" s="66"/>
      <c r="K23" s="66"/>
      <c r="L23" s="62"/>
      <c r="M23" s="62"/>
      <c r="N23" s="80"/>
      <c r="O23" s="62"/>
      <c r="P23" s="62"/>
      <c r="Q23" s="80"/>
      <c r="R23" s="62"/>
      <c r="S23" s="62"/>
      <c r="T23" s="144" t="e">
        <f t="shared" si="1"/>
        <v>#DIV/0!</v>
      </c>
    </row>
    <row r="24" spans="2:20" s="64" customFormat="1" ht="42">
      <c r="B24" s="192" t="s">
        <v>137</v>
      </c>
      <c r="C24" s="191" t="s">
        <v>139</v>
      </c>
      <c r="D24" s="61"/>
      <c r="E24" s="66"/>
      <c r="F24" s="62"/>
      <c r="G24" s="62"/>
      <c r="H24" s="66"/>
      <c r="I24" s="62"/>
      <c r="J24" s="66"/>
      <c r="K24" s="66"/>
      <c r="L24" s="62"/>
      <c r="M24" s="62"/>
      <c r="N24" s="80"/>
      <c r="O24" s="62"/>
      <c r="P24" s="62"/>
      <c r="Q24" s="80"/>
      <c r="R24" s="62"/>
      <c r="S24" s="62"/>
      <c r="T24" s="144"/>
    </row>
    <row r="25" spans="2:20" s="64" customFormat="1">
      <c r="B25" s="178" t="s">
        <v>118</v>
      </c>
      <c r="C25" s="62"/>
      <c r="D25" s="61"/>
      <c r="E25" s="80"/>
      <c r="F25" s="62"/>
      <c r="G25" s="62"/>
      <c r="H25" s="66"/>
      <c r="I25" s="62"/>
      <c r="J25" s="66"/>
      <c r="K25" s="66"/>
      <c r="L25" s="62"/>
      <c r="M25" s="62"/>
      <c r="N25" s="80"/>
      <c r="O25" s="62"/>
      <c r="P25" s="62"/>
      <c r="Q25" s="80"/>
      <c r="R25" s="62"/>
      <c r="S25" s="62"/>
      <c r="T25" s="144"/>
    </row>
    <row r="26" spans="2:20" s="64" customFormat="1">
      <c r="B26" s="178" t="s">
        <v>119</v>
      </c>
      <c r="C26" s="62"/>
      <c r="D26" s="61"/>
      <c r="E26" s="80"/>
      <c r="F26" s="62"/>
      <c r="G26" s="62"/>
      <c r="H26" s="66"/>
      <c r="I26" s="62"/>
      <c r="J26" s="66"/>
      <c r="K26" s="66"/>
      <c r="L26" s="62"/>
      <c r="M26" s="62"/>
      <c r="N26" s="80"/>
      <c r="O26" s="62"/>
      <c r="P26" s="62"/>
      <c r="Q26" s="80"/>
      <c r="R26" s="62"/>
      <c r="S26" s="62"/>
      <c r="T26" s="144"/>
    </row>
    <row r="27" spans="2:20" s="64" customFormat="1">
      <c r="B27" s="178" t="s">
        <v>120</v>
      </c>
      <c r="C27" s="62"/>
      <c r="D27" s="61"/>
      <c r="E27" s="80"/>
      <c r="F27" s="62"/>
      <c r="G27" s="62"/>
      <c r="H27" s="66"/>
      <c r="I27" s="62"/>
      <c r="J27" s="66"/>
      <c r="K27" s="66"/>
      <c r="L27" s="62"/>
      <c r="M27" s="62"/>
      <c r="N27" s="80"/>
      <c r="O27" s="62"/>
      <c r="P27" s="62"/>
      <c r="Q27" s="80"/>
      <c r="R27" s="62"/>
      <c r="S27" s="62"/>
      <c r="T27" s="144"/>
    </row>
    <row r="28" spans="2:20" s="64" customFormat="1">
      <c r="B28" s="179"/>
      <c r="C28" s="62"/>
      <c r="D28" s="61"/>
      <c r="E28" s="80"/>
      <c r="F28" s="62"/>
      <c r="G28" s="62"/>
      <c r="H28" s="66"/>
      <c r="I28" s="62"/>
      <c r="J28" s="66"/>
      <c r="K28" s="66"/>
      <c r="L28" s="62"/>
      <c r="M28" s="62"/>
      <c r="N28" s="80"/>
      <c r="O28" s="62"/>
      <c r="P28" s="62"/>
      <c r="Q28" s="80"/>
      <c r="R28" s="62"/>
      <c r="S28" s="62"/>
      <c r="T28" s="144"/>
    </row>
    <row r="29" spans="2:20" s="64" customFormat="1">
      <c r="B29" s="178" t="s">
        <v>103</v>
      </c>
      <c r="C29" s="62"/>
      <c r="D29" s="61"/>
      <c r="E29" s="80"/>
      <c r="F29" s="62"/>
      <c r="G29" s="62"/>
      <c r="H29" s="66"/>
      <c r="I29" s="62"/>
      <c r="J29" s="66"/>
      <c r="K29" s="66"/>
      <c r="L29" s="62"/>
      <c r="M29" s="62"/>
      <c r="N29" s="80"/>
      <c r="O29" s="62"/>
      <c r="P29" s="62"/>
      <c r="Q29" s="80"/>
      <c r="R29" s="62"/>
      <c r="S29" s="62"/>
      <c r="T29" s="144"/>
    </row>
    <row r="30" spans="2:20" s="64" customFormat="1" ht="42">
      <c r="B30" s="178" t="s">
        <v>104</v>
      </c>
      <c r="C30" s="62"/>
      <c r="D30" s="61"/>
      <c r="E30" s="81"/>
      <c r="F30" s="62"/>
      <c r="G30" s="62"/>
      <c r="H30" s="66"/>
      <c r="I30" s="62"/>
      <c r="J30" s="66"/>
      <c r="K30" s="66"/>
      <c r="L30" s="62"/>
      <c r="M30" s="62"/>
      <c r="N30" s="80"/>
      <c r="O30" s="62"/>
      <c r="P30" s="62"/>
      <c r="Q30" s="80"/>
      <c r="R30" s="62"/>
      <c r="S30" s="62"/>
      <c r="T30" s="144"/>
    </row>
    <row r="31" spans="2:20" s="64" customFormat="1" ht="42">
      <c r="B31" s="178" t="s">
        <v>105</v>
      </c>
      <c r="C31" s="62"/>
      <c r="D31" s="61"/>
      <c r="E31" s="62"/>
      <c r="F31" s="62"/>
      <c r="G31" s="62"/>
      <c r="H31" s="66"/>
      <c r="I31" s="62"/>
      <c r="J31" s="66"/>
      <c r="K31" s="66"/>
      <c r="L31" s="62"/>
      <c r="M31" s="62"/>
      <c r="N31" s="80"/>
      <c r="O31" s="62"/>
      <c r="P31" s="62"/>
      <c r="Q31" s="80"/>
      <c r="R31" s="62"/>
      <c r="S31" s="62"/>
      <c r="T31" s="144"/>
    </row>
    <row r="32" spans="2:20" s="64" customFormat="1">
      <c r="B32" s="178" t="s">
        <v>121</v>
      </c>
      <c r="C32" s="62"/>
      <c r="D32" s="61"/>
      <c r="E32" s="66"/>
      <c r="F32" s="62"/>
      <c r="G32" s="66"/>
      <c r="H32" s="66"/>
      <c r="I32" s="62"/>
      <c r="J32" s="66"/>
      <c r="K32" s="66"/>
      <c r="L32" s="62"/>
      <c r="M32" s="62"/>
      <c r="N32" s="80"/>
      <c r="O32" s="62"/>
      <c r="P32" s="62"/>
      <c r="Q32" s="80"/>
      <c r="R32" s="62"/>
      <c r="S32" s="62"/>
      <c r="T32" s="144"/>
    </row>
    <row r="33" spans="2:20" s="64" customFormat="1">
      <c r="B33" s="90"/>
      <c r="C33" s="62"/>
      <c r="D33" s="61"/>
      <c r="E33" s="66"/>
      <c r="F33" s="62"/>
      <c r="G33" s="66"/>
      <c r="H33" s="66"/>
      <c r="I33" s="62"/>
      <c r="J33" s="66"/>
      <c r="K33" s="66"/>
      <c r="L33" s="62"/>
      <c r="M33" s="62"/>
      <c r="N33" s="80"/>
      <c r="O33" s="62"/>
      <c r="P33" s="62"/>
      <c r="Q33" s="80"/>
      <c r="R33" s="62"/>
      <c r="S33" s="62"/>
      <c r="T33" s="144"/>
    </row>
    <row r="34" spans="2:20" s="64" customFormat="1">
      <c r="B34" s="90"/>
      <c r="C34" s="62"/>
      <c r="D34" s="61"/>
      <c r="E34" s="66"/>
      <c r="F34" s="62"/>
      <c r="G34" s="66"/>
      <c r="H34" s="66"/>
      <c r="I34" s="62"/>
      <c r="J34" s="66"/>
      <c r="K34" s="66"/>
      <c r="L34" s="62"/>
      <c r="M34" s="62"/>
      <c r="N34" s="80"/>
      <c r="O34" s="62"/>
      <c r="P34" s="62"/>
      <c r="Q34" s="80"/>
      <c r="R34" s="62"/>
      <c r="S34" s="62"/>
      <c r="T34" s="144"/>
    </row>
    <row r="35" spans="2:20" s="64" customFormat="1">
      <c r="B35" s="90"/>
      <c r="C35" s="62"/>
      <c r="D35" s="61"/>
      <c r="E35" s="66"/>
      <c r="F35" s="62"/>
      <c r="G35" s="66"/>
      <c r="H35" s="66"/>
      <c r="I35" s="62"/>
      <c r="J35" s="66"/>
      <c r="K35" s="66"/>
      <c r="L35" s="62"/>
      <c r="M35" s="62"/>
      <c r="N35" s="80"/>
      <c r="O35" s="62"/>
      <c r="P35" s="62"/>
      <c r="Q35" s="80"/>
      <c r="R35" s="62"/>
      <c r="S35" s="62"/>
      <c r="T35" s="144"/>
    </row>
    <row r="36" spans="2:20" s="64" customFormat="1">
      <c r="B36" s="90"/>
      <c r="C36" s="62"/>
      <c r="D36" s="61"/>
      <c r="E36" s="66"/>
      <c r="F36" s="62"/>
      <c r="G36" s="66"/>
      <c r="H36" s="66"/>
      <c r="I36" s="62"/>
      <c r="J36" s="66"/>
      <c r="K36" s="66"/>
      <c r="L36" s="62"/>
      <c r="M36" s="62"/>
      <c r="N36" s="80"/>
      <c r="O36" s="62"/>
      <c r="P36" s="62"/>
      <c r="Q36" s="80"/>
      <c r="R36" s="62"/>
      <c r="S36" s="62"/>
      <c r="T36" s="144"/>
    </row>
    <row r="37" spans="2:20" s="64" customFormat="1">
      <c r="B37" s="90"/>
      <c r="C37" s="62"/>
      <c r="D37" s="61"/>
      <c r="E37" s="66"/>
      <c r="F37" s="62"/>
      <c r="G37" s="66"/>
      <c r="H37" s="66"/>
      <c r="I37" s="62"/>
      <c r="J37" s="66"/>
      <c r="K37" s="66"/>
      <c r="L37" s="62"/>
      <c r="M37" s="62"/>
      <c r="N37" s="80"/>
      <c r="O37" s="62"/>
      <c r="P37" s="62"/>
      <c r="Q37" s="80"/>
      <c r="R37" s="62"/>
      <c r="S37" s="62"/>
      <c r="T37" s="144"/>
    </row>
    <row r="38" spans="2:20" s="64" customFormat="1">
      <c r="B38" s="90"/>
      <c r="C38" s="62"/>
      <c r="D38" s="61"/>
      <c r="E38" s="66"/>
      <c r="F38" s="62"/>
      <c r="G38" s="66"/>
      <c r="H38" s="66"/>
      <c r="I38" s="62"/>
      <c r="J38" s="66"/>
      <c r="K38" s="66"/>
      <c r="L38" s="62"/>
      <c r="M38" s="62"/>
      <c r="N38" s="80"/>
      <c r="O38" s="62"/>
      <c r="P38" s="62"/>
      <c r="Q38" s="80"/>
      <c r="R38" s="62"/>
      <c r="S38" s="62"/>
      <c r="T38" s="144"/>
    </row>
    <row r="39" spans="2:20" s="64" customFormat="1">
      <c r="B39" s="90"/>
      <c r="C39" s="62"/>
      <c r="D39" s="61"/>
      <c r="E39" s="66"/>
      <c r="F39" s="62"/>
      <c r="G39" s="66"/>
      <c r="H39" s="66"/>
      <c r="I39" s="62"/>
      <c r="J39" s="66"/>
      <c r="K39" s="66"/>
      <c r="L39" s="62"/>
      <c r="M39" s="62"/>
      <c r="N39" s="80"/>
      <c r="O39" s="62"/>
      <c r="P39" s="62"/>
      <c r="Q39" s="80"/>
      <c r="R39" s="62"/>
      <c r="S39" s="62"/>
      <c r="T39" s="144" t="e">
        <f t="shared" si="1"/>
        <v>#DIV/0!</v>
      </c>
    </row>
    <row r="40" spans="2:20" s="64" customFormat="1">
      <c r="B40" s="90"/>
      <c r="C40" s="62"/>
      <c r="D40" s="61"/>
      <c r="E40" s="66"/>
      <c r="F40" s="62"/>
      <c r="G40" s="66"/>
      <c r="H40" s="66"/>
      <c r="I40" s="62"/>
      <c r="J40" s="66"/>
      <c r="K40" s="66"/>
      <c r="L40" s="62"/>
      <c r="M40" s="62"/>
      <c r="N40" s="80"/>
      <c r="O40" s="62"/>
      <c r="P40" s="62"/>
      <c r="Q40" s="80"/>
      <c r="R40" s="62"/>
      <c r="S40" s="62"/>
      <c r="T40" s="144" t="e">
        <f t="shared" si="1"/>
        <v>#DIV/0!</v>
      </c>
    </row>
    <row r="41" spans="2:20" s="64" customFormat="1">
      <c r="B41" s="90"/>
      <c r="C41" s="62"/>
      <c r="D41" s="62"/>
      <c r="E41" s="66"/>
      <c r="F41" s="62"/>
      <c r="G41" s="66"/>
      <c r="H41" s="66"/>
      <c r="I41" s="62"/>
      <c r="J41" s="66"/>
      <c r="K41" s="66"/>
      <c r="L41" s="62"/>
      <c r="M41" s="62"/>
      <c r="N41" s="81"/>
      <c r="O41" s="62"/>
      <c r="P41" s="62"/>
      <c r="Q41" s="81"/>
      <c r="R41" s="62"/>
      <c r="S41" s="62"/>
      <c r="T41" s="144" t="e">
        <f t="shared" si="1"/>
        <v>#DIV/0!</v>
      </c>
    </row>
    <row r="42" spans="2:20" s="64" customFormat="1" ht="23.25">
      <c r="B42" s="136"/>
      <c r="C42" s="137"/>
      <c r="D42" s="137"/>
      <c r="E42" s="137"/>
      <c r="F42" s="137">
        <f>SUMPRODUCT(E14:E41,F14:F41)</f>
        <v>3.0999999999999996</v>
      </c>
      <c r="G42" s="137"/>
      <c r="H42" s="137"/>
      <c r="I42" s="137">
        <f>SUMPRODUCT(H14:H41,I14:I41)</f>
        <v>3.15</v>
      </c>
      <c r="J42" s="137"/>
      <c r="K42" s="137"/>
      <c r="L42" s="137">
        <f>SUMPRODUCT(K14:K41,L14:L41)</f>
        <v>3.3749999999999996</v>
      </c>
      <c r="M42" s="137"/>
      <c r="N42" s="138"/>
      <c r="O42" s="137">
        <f>SUMPRODUCT(N14:N41,O14:O41)</f>
        <v>3.1749999999999998</v>
      </c>
      <c r="P42" s="137"/>
      <c r="Q42" s="138"/>
      <c r="R42" s="137">
        <f>SUMPRODUCT(Q14:Q41,R14:R41)</f>
        <v>3</v>
      </c>
      <c r="S42" s="137"/>
      <c r="T42" s="139"/>
    </row>
    <row r="43" spans="2:20" s="64" customFormat="1" ht="24" thickBot="1">
      <c r="B43" s="140"/>
      <c r="C43" s="141"/>
      <c r="D43" s="141"/>
      <c r="E43" s="142"/>
      <c r="F43" s="141">
        <f>IF(F42=0,"",F42)</f>
        <v>3.0999999999999996</v>
      </c>
      <c r="G43" s="141"/>
      <c r="H43" s="142"/>
      <c r="I43" s="141">
        <f>IF(I42=0,"",I42)</f>
        <v>3.15</v>
      </c>
      <c r="J43" s="141"/>
      <c r="K43" s="142"/>
      <c r="L43" s="141">
        <f>IF(L42=0," ",L42)</f>
        <v>3.3749999999999996</v>
      </c>
      <c r="M43" s="141"/>
      <c r="N43" s="141"/>
      <c r="O43" s="141">
        <f>IF(O42=0,"",O42)</f>
        <v>3.1749999999999998</v>
      </c>
      <c r="P43" s="141"/>
      <c r="Q43" s="141"/>
      <c r="R43" s="141">
        <f>IF(R42=0,"",R42)</f>
        <v>3</v>
      </c>
      <c r="S43" s="141"/>
      <c r="T43" s="143"/>
    </row>
    <row r="44" spans="2:20" s="64" customFormat="1"/>
    <row r="45" spans="2:20" s="64" customFormat="1"/>
    <row r="46" spans="2:20" s="64" customFormat="1"/>
    <row r="47" spans="2:20" s="64" customFormat="1"/>
  </sheetData>
  <protectedRanges>
    <protectedRange algorithmName="SHA-512" hashValue="ozK/W2BhxlRCgZ/TfMal7m4zl9N3R7K0gJQyGGcIP8plt9OsOFDLNQLLKdAllNF31QQzKaxziKYvEzBIUmBnUw==" saltValue="c3mOM2dnX3NZMO4bvh6sxQ==" spinCount="100000" sqref="J3:J7" name="Range1"/>
  </protectedRanges>
  <dataConsolidate function="average" topLabels="1">
    <dataRefs count="1">
      <dataRef ref="B14:Z16" sheet="Functional Dimension"/>
    </dataRefs>
  </dataConsolidate>
  <mergeCells count="4">
    <mergeCell ref="B10:C10"/>
    <mergeCell ref="B9:G9"/>
    <mergeCell ref="B2:B7"/>
    <mergeCell ref="C3:C7"/>
  </mergeCells>
  <dataValidations count="1">
    <dataValidation type="list" allowBlank="1" showInputMessage="1" showErrorMessage="1" sqref="B23" xr:uid="{00000000-0002-0000-0000-000000000000}">
      <formula1>$B$16:$B$49</formula1>
    </dataValidation>
  </dataValidations>
  <pageMargins left="0.7" right="0.7" top="0.75" bottom="0.75" header="0.3" footer="0.3"/>
  <pageSetup paperSize="9" scale="27" orientation="landscape" errors="dash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Y26"/>
  <sheetViews>
    <sheetView view="pageBreakPreview" topLeftCell="B1" zoomScaleNormal="50" zoomScaleSheetLayoutView="50" workbookViewId="0">
      <pane xSplit="4" ySplit="1" topLeftCell="M2" activePane="bottomRight" state="frozen"/>
      <selection activeCell="P21" sqref="P21"/>
      <selection pane="topRight" activeCell="P21" sqref="P21"/>
      <selection pane="bottomLeft" activeCell="P21" sqref="P21"/>
      <selection pane="bottomRight" activeCell="E15" sqref="E15:Y15"/>
    </sheetView>
  </sheetViews>
  <sheetFormatPr defaultColWidth="8.7109375" defaultRowHeight="18.75"/>
  <cols>
    <col min="1" max="3" width="8.7109375" style="34"/>
    <col min="4" max="4" width="25.7109375" style="34" customWidth="1"/>
    <col min="5" max="8" width="8.7109375" style="34" customWidth="1"/>
    <col min="9" max="9" width="8.7109375" style="35" customWidth="1"/>
    <col min="10" max="11" width="8.7109375" style="34" customWidth="1"/>
    <col min="12" max="12" width="10.140625" style="34" customWidth="1"/>
    <col min="13" max="13" width="8.7109375" style="35" customWidth="1"/>
    <col min="14" max="16" width="8.7109375" style="34" customWidth="1"/>
    <col min="17" max="17" width="8.7109375" style="35"/>
    <col min="18" max="19" width="10.140625" style="34" customWidth="1"/>
    <col min="20" max="20" width="8.7109375" style="34"/>
    <col min="21" max="21" width="8.7109375" style="35"/>
    <col min="22" max="23" width="10.140625" style="34" customWidth="1"/>
    <col min="24" max="24" width="8.7109375" style="34"/>
    <col min="25" max="25" width="11.7109375" style="40" customWidth="1"/>
    <col min="26" max="16384" width="8.7109375" style="34"/>
  </cols>
  <sheetData>
    <row r="1" spans="2:25" ht="19.5" thickBot="1">
      <c r="B1" s="201" t="s">
        <v>19</v>
      </c>
      <c r="C1" s="201"/>
      <c r="D1" s="201"/>
      <c r="E1" s="93">
        <v>0.2</v>
      </c>
      <c r="F1" s="202"/>
      <c r="G1" s="202"/>
      <c r="H1" s="202"/>
      <c r="I1" s="93">
        <v>0.2</v>
      </c>
      <c r="J1" s="202"/>
      <c r="K1" s="202"/>
      <c r="L1" s="202"/>
      <c r="M1" s="93">
        <v>0.2</v>
      </c>
      <c r="N1" s="92"/>
      <c r="O1" s="92"/>
      <c r="P1" s="92"/>
      <c r="Q1" s="93">
        <v>0.2</v>
      </c>
      <c r="R1" s="92"/>
      <c r="S1" s="92"/>
      <c r="T1" s="92"/>
      <c r="U1" s="93">
        <v>0.2</v>
      </c>
      <c r="V1" s="92"/>
      <c r="W1" s="92"/>
      <c r="X1" s="92"/>
      <c r="Y1" s="92"/>
    </row>
    <row r="2" spans="2:25" ht="19.5" thickBot="1">
      <c r="P2" s="35"/>
      <c r="S2" s="35"/>
      <c r="W2" s="35"/>
    </row>
    <row r="3" spans="2:25" ht="38.25" thickBot="1">
      <c r="B3" s="235" t="s">
        <v>20</v>
      </c>
      <c r="C3" s="236"/>
      <c r="D3" s="237"/>
      <c r="E3" s="128" t="s">
        <v>26</v>
      </c>
      <c r="F3" s="238" t="s">
        <v>21</v>
      </c>
      <c r="G3" s="236"/>
      <c r="H3" s="237"/>
      <c r="I3" s="128" t="s">
        <v>73</v>
      </c>
      <c r="J3" s="238" t="s">
        <v>21</v>
      </c>
      <c r="K3" s="236"/>
      <c r="L3" s="237"/>
      <c r="M3" s="128" t="s">
        <v>76</v>
      </c>
      <c r="N3" s="238" t="s">
        <v>21</v>
      </c>
      <c r="O3" s="236"/>
      <c r="P3" s="237"/>
      <c r="Q3" s="128" t="s">
        <v>77</v>
      </c>
      <c r="R3" s="238" t="s">
        <v>21</v>
      </c>
      <c r="S3" s="236"/>
      <c r="T3" s="237"/>
      <c r="U3" s="128" t="s">
        <v>78</v>
      </c>
      <c r="V3" s="238" t="s">
        <v>21</v>
      </c>
      <c r="W3" s="236"/>
      <c r="X3" s="237"/>
      <c r="Y3" s="106" t="s">
        <v>30</v>
      </c>
    </row>
    <row r="4" spans="2:25" ht="21" customHeight="1">
      <c r="B4" s="227" t="s">
        <v>87</v>
      </c>
      <c r="C4" s="228"/>
      <c r="D4" s="229"/>
      <c r="E4" s="41">
        <v>3</v>
      </c>
      <c r="F4" s="206" t="s">
        <v>156</v>
      </c>
      <c r="G4" s="207"/>
      <c r="H4" s="208"/>
      <c r="I4" s="41">
        <v>3</v>
      </c>
      <c r="J4" s="206" t="s">
        <v>146</v>
      </c>
      <c r="K4" s="207"/>
      <c r="L4" s="208"/>
      <c r="M4" s="41">
        <v>2.5</v>
      </c>
      <c r="N4" s="206" t="s">
        <v>153</v>
      </c>
      <c r="O4" s="207"/>
      <c r="P4" s="208"/>
      <c r="Q4" s="41">
        <v>2.5</v>
      </c>
      <c r="R4" s="206" t="s">
        <v>161</v>
      </c>
      <c r="S4" s="207"/>
      <c r="T4" s="208"/>
      <c r="U4" s="41">
        <v>2.5</v>
      </c>
      <c r="V4" s="239" t="s">
        <v>169</v>
      </c>
      <c r="W4" s="240"/>
      <c r="X4" s="241"/>
      <c r="Y4" s="94">
        <f>AVERAGE(Q4,M4,I4,E4)</f>
        <v>2.75</v>
      </c>
    </row>
    <row r="5" spans="2:25" ht="21" customHeight="1">
      <c r="B5" s="227" t="s">
        <v>88</v>
      </c>
      <c r="C5" s="228"/>
      <c r="D5" s="229"/>
      <c r="E5" s="41">
        <v>3</v>
      </c>
      <c r="F5" s="209"/>
      <c r="G5" s="210"/>
      <c r="H5" s="211"/>
      <c r="I5" s="41">
        <v>3</v>
      </c>
      <c r="J5" s="209"/>
      <c r="K5" s="210"/>
      <c r="L5" s="211"/>
      <c r="M5" s="41">
        <v>2.5</v>
      </c>
      <c r="N5" s="209"/>
      <c r="O5" s="210"/>
      <c r="P5" s="211"/>
      <c r="Q5" s="41">
        <v>2.5</v>
      </c>
      <c r="R5" s="209"/>
      <c r="S5" s="210"/>
      <c r="T5" s="211"/>
      <c r="U5" s="41">
        <v>2.5</v>
      </c>
      <c r="V5" s="242"/>
      <c r="W5" s="243"/>
      <c r="X5" s="244"/>
      <c r="Y5" s="95">
        <f>AVERAGE(Q5,M5,I5,E5)</f>
        <v>2.75</v>
      </c>
    </row>
    <row r="6" spans="2:25" ht="21" customHeight="1">
      <c r="B6" s="227" t="s">
        <v>89</v>
      </c>
      <c r="C6" s="228"/>
      <c r="D6" s="229"/>
      <c r="E6" s="41">
        <v>3</v>
      </c>
      <c r="F6" s="209"/>
      <c r="G6" s="210"/>
      <c r="H6" s="211"/>
      <c r="I6" s="41">
        <v>3</v>
      </c>
      <c r="J6" s="209"/>
      <c r="K6" s="210"/>
      <c r="L6" s="211"/>
      <c r="M6" s="41">
        <v>2.5</v>
      </c>
      <c r="N6" s="209"/>
      <c r="O6" s="210"/>
      <c r="P6" s="211"/>
      <c r="Q6" s="41">
        <v>2.5</v>
      </c>
      <c r="R6" s="209"/>
      <c r="S6" s="210"/>
      <c r="T6" s="211"/>
      <c r="U6" s="41">
        <v>2.5</v>
      </c>
      <c r="V6" s="242"/>
      <c r="W6" s="243"/>
      <c r="X6" s="244"/>
      <c r="Y6" s="95">
        <f>AVERAGE(Q6,M6,I6,E6)</f>
        <v>2.75</v>
      </c>
    </row>
    <row r="7" spans="2:25" ht="21" customHeight="1">
      <c r="B7" s="227" t="s">
        <v>90</v>
      </c>
      <c r="C7" s="228"/>
      <c r="D7" s="229"/>
      <c r="E7" s="41">
        <v>3</v>
      </c>
      <c r="F7" s="209"/>
      <c r="G7" s="210"/>
      <c r="H7" s="211"/>
      <c r="I7" s="41">
        <v>3</v>
      </c>
      <c r="J7" s="209"/>
      <c r="K7" s="210"/>
      <c r="L7" s="211"/>
      <c r="M7" s="41">
        <v>2.5</v>
      </c>
      <c r="N7" s="209"/>
      <c r="O7" s="210"/>
      <c r="P7" s="211"/>
      <c r="Q7" s="41">
        <v>2.5</v>
      </c>
      <c r="R7" s="209"/>
      <c r="S7" s="210"/>
      <c r="T7" s="211"/>
      <c r="U7" s="41">
        <v>2.5</v>
      </c>
      <c r="V7" s="242"/>
      <c r="W7" s="243"/>
      <c r="X7" s="244"/>
      <c r="Y7" s="95">
        <f>AVERAGE(Q7,M7,I7,E7)</f>
        <v>2.75</v>
      </c>
    </row>
    <row r="8" spans="2:25" ht="21" customHeight="1">
      <c r="B8" s="227" t="s">
        <v>91</v>
      </c>
      <c r="C8" s="228"/>
      <c r="D8" s="229"/>
      <c r="E8" s="41">
        <v>2.5</v>
      </c>
      <c r="F8" s="212"/>
      <c r="G8" s="213"/>
      <c r="H8" s="214"/>
      <c r="I8" s="41">
        <v>2.5</v>
      </c>
      <c r="J8" s="212"/>
      <c r="K8" s="213"/>
      <c r="L8" s="214"/>
      <c r="M8" s="41">
        <v>2.5</v>
      </c>
      <c r="N8" s="212"/>
      <c r="O8" s="213"/>
      <c r="P8" s="214"/>
      <c r="Q8" s="41">
        <v>2.5</v>
      </c>
      <c r="R8" s="212"/>
      <c r="S8" s="213"/>
      <c r="T8" s="214"/>
      <c r="U8" s="41">
        <v>2.5</v>
      </c>
      <c r="V8" s="245"/>
      <c r="W8" s="246"/>
      <c r="X8" s="247"/>
      <c r="Y8" s="95">
        <f>AVERAGE(Q8,M8,I8,E8)</f>
        <v>2.5</v>
      </c>
    </row>
    <row r="9" spans="2:25">
      <c r="B9" s="230"/>
      <c r="C9" s="231"/>
      <c r="D9" s="231"/>
      <c r="E9" s="41"/>
      <c r="F9" s="203"/>
      <c r="G9" s="204"/>
      <c r="H9" s="205"/>
      <c r="I9" s="41"/>
      <c r="J9" s="204"/>
      <c r="K9" s="204"/>
      <c r="L9" s="204"/>
      <c r="M9" s="41"/>
      <c r="N9" s="203"/>
      <c r="O9" s="204"/>
      <c r="P9" s="205"/>
      <c r="Q9" s="41"/>
      <c r="R9" s="203"/>
      <c r="S9" s="204"/>
      <c r="T9" s="205"/>
      <c r="U9" s="41"/>
      <c r="V9" s="203"/>
      <c r="W9" s="204"/>
      <c r="X9" s="205"/>
      <c r="Y9" s="95" t="e">
        <f t="shared" ref="Y9:Y13" si="0">AVERAGE(Q9,M9,I9,U9)</f>
        <v>#DIV/0!</v>
      </c>
    </row>
    <row r="10" spans="2:25">
      <c r="B10" s="232"/>
      <c r="C10" s="233"/>
      <c r="D10" s="234"/>
      <c r="E10" s="41"/>
      <c r="F10" s="203"/>
      <c r="G10" s="204"/>
      <c r="H10" s="205"/>
      <c r="I10" s="41"/>
      <c r="J10" s="204"/>
      <c r="K10" s="204"/>
      <c r="L10" s="204"/>
      <c r="M10" s="41"/>
      <c r="N10" s="203"/>
      <c r="O10" s="204"/>
      <c r="P10" s="205"/>
      <c r="Q10" s="41"/>
      <c r="R10" s="203"/>
      <c r="S10" s="204"/>
      <c r="T10" s="205"/>
      <c r="U10" s="41"/>
      <c r="V10" s="203"/>
      <c r="W10" s="204"/>
      <c r="X10" s="205"/>
      <c r="Y10" s="95" t="e">
        <f t="shared" si="0"/>
        <v>#DIV/0!</v>
      </c>
    </row>
    <row r="11" spans="2:25">
      <c r="B11" s="232"/>
      <c r="C11" s="233"/>
      <c r="D11" s="234"/>
      <c r="E11" s="41"/>
      <c r="F11" s="203"/>
      <c r="G11" s="204"/>
      <c r="H11" s="205"/>
      <c r="I11" s="41"/>
      <c r="J11" s="204"/>
      <c r="K11" s="204"/>
      <c r="L11" s="204"/>
      <c r="M11" s="41"/>
      <c r="N11" s="203"/>
      <c r="O11" s="204"/>
      <c r="P11" s="205"/>
      <c r="Q11" s="41"/>
      <c r="R11" s="203"/>
      <c r="S11" s="204"/>
      <c r="T11" s="205"/>
      <c r="U11" s="41"/>
      <c r="V11" s="203"/>
      <c r="W11" s="204"/>
      <c r="X11" s="205"/>
      <c r="Y11" s="95" t="e">
        <f t="shared" si="0"/>
        <v>#DIV/0!</v>
      </c>
    </row>
    <row r="12" spans="2:25">
      <c r="B12" s="232"/>
      <c r="C12" s="233"/>
      <c r="D12" s="234"/>
      <c r="E12" s="41"/>
      <c r="F12" s="203"/>
      <c r="G12" s="204"/>
      <c r="H12" s="205"/>
      <c r="I12" s="41"/>
      <c r="J12" s="204"/>
      <c r="K12" s="204"/>
      <c r="L12" s="204"/>
      <c r="M12" s="41"/>
      <c r="N12" s="203"/>
      <c r="O12" s="204"/>
      <c r="P12" s="205"/>
      <c r="Q12" s="41"/>
      <c r="R12" s="203"/>
      <c r="S12" s="204"/>
      <c r="T12" s="205"/>
      <c r="U12" s="41"/>
      <c r="V12" s="203"/>
      <c r="W12" s="204"/>
      <c r="X12" s="205"/>
      <c r="Y12" s="95" t="e">
        <f t="shared" si="0"/>
        <v>#DIV/0!</v>
      </c>
    </row>
    <row r="13" spans="2:25" ht="19.5" thickBot="1">
      <c r="B13" s="224"/>
      <c r="C13" s="225"/>
      <c r="D13" s="226"/>
      <c r="E13" s="42"/>
      <c r="F13" s="215"/>
      <c r="G13" s="216"/>
      <c r="H13" s="217"/>
      <c r="I13" s="41"/>
      <c r="J13" s="216"/>
      <c r="K13" s="216"/>
      <c r="L13" s="216"/>
      <c r="M13" s="41"/>
      <c r="N13" s="215"/>
      <c r="O13" s="216"/>
      <c r="P13" s="217"/>
      <c r="Q13" s="42"/>
      <c r="R13" s="215"/>
      <c r="S13" s="216"/>
      <c r="T13" s="217"/>
      <c r="U13" s="42"/>
      <c r="V13" s="215"/>
      <c r="W13" s="216"/>
      <c r="X13" s="217"/>
      <c r="Y13" s="95" t="e">
        <f t="shared" si="0"/>
        <v>#DIV/0!</v>
      </c>
    </row>
    <row r="14" spans="2:25" ht="19.5" thickBot="1">
      <c r="B14" s="96"/>
      <c r="C14" s="97"/>
      <c r="D14" s="97"/>
      <c r="E14" s="98">
        <f>IF(SUM(E4:E13)=0,0,AVERAGE(E4:E13))</f>
        <v>2.9</v>
      </c>
      <c r="F14" s="97"/>
      <c r="G14" s="97"/>
      <c r="H14" s="97"/>
      <c r="I14" s="98">
        <f>IF(SUM(I4:I13)=0,0,AVERAGE(I4:I13))</f>
        <v>2.9</v>
      </c>
      <c r="J14" s="99"/>
      <c r="K14" s="99"/>
      <c r="L14" s="99"/>
      <c r="M14" s="98">
        <f>IF(SUM(M4:M13)=0,0,AVERAGE(M4:M13))</f>
        <v>2.5</v>
      </c>
      <c r="N14" s="99"/>
      <c r="O14" s="99"/>
      <c r="P14" s="100"/>
      <c r="Q14" s="98">
        <f>IF(SUM(Q4:Q13)=0,0,AVERAGE(Q4:Q13))</f>
        <v>2.5</v>
      </c>
      <c r="R14" s="99"/>
      <c r="S14" s="100"/>
      <c r="T14" s="99"/>
      <c r="U14" s="98">
        <f>IF(SUM(U4:U13)=0,0,AVERAGE(U4:U13))</f>
        <v>2.5</v>
      </c>
      <c r="V14" s="99"/>
      <c r="W14" s="100"/>
      <c r="X14" s="99"/>
      <c r="Y14" s="101"/>
    </row>
    <row r="15" spans="2:25" ht="19.5" thickBot="1">
      <c r="B15" s="45" t="s">
        <v>83</v>
      </c>
      <c r="C15" s="47"/>
      <c r="D15" s="47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200"/>
    </row>
    <row r="16" spans="2:25" ht="19.5" thickBot="1">
      <c r="B16" s="221"/>
      <c r="C16" s="222"/>
      <c r="D16" s="222"/>
      <c r="E16" s="222"/>
      <c r="F16" s="222"/>
      <c r="G16" s="222"/>
      <c r="H16" s="222"/>
      <c r="I16" s="222"/>
      <c r="J16" s="222"/>
      <c r="K16" s="222"/>
      <c r="L16" s="222"/>
      <c r="M16" s="222"/>
      <c r="N16" s="222"/>
      <c r="O16" s="222"/>
      <c r="P16" s="222"/>
      <c r="Q16" s="222"/>
      <c r="R16" s="222"/>
      <c r="S16" s="222"/>
      <c r="T16" s="222"/>
      <c r="U16" s="222"/>
      <c r="V16" s="222"/>
      <c r="W16" s="222"/>
      <c r="X16" s="222"/>
      <c r="Y16" s="223"/>
    </row>
    <row r="17" spans="2:25" ht="19.5" thickBot="1">
      <c r="B17" s="45" t="s">
        <v>84</v>
      </c>
      <c r="C17" s="47"/>
      <c r="D17" s="47"/>
      <c r="E17" s="199"/>
      <c r="F17" s="199"/>
      <c r="G17" s="199"/>
      <c r="H17" s="199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200"/>
    </row>
    <row r="18" spans="2:25" ht="19.5" thickBot="1">
      <c r="B18" s="221"/>
      <c r="C18" s="222"/>
      <c r="D18" s="222"/>
      <c r="E18" s="222"/>
      <c r="F18" s="222"/>
      <c r="G18" s="222"/>
      <c r="H18" s="222"/>
      <c r="I18" s="222"/>
      <c r="J18" s="222"/>
      <c r="K18" s="222"/>
      <c r="L18" s="222"/>
      <c r="M18" s="222"/>
      <c r="N18" s="222"/>
      <c r="O18" s="222"/>
      <c r="P18" s="222"/>
      <c r="Q18" s="222"/>
      <c r="R18" s="222"/>
      <c r="S18" s="222"/>
      <c r="T18" s="222"/>
      <c r="U18" s="222"/>
      <c r="V18" s="222"/>
      <c r="W18" s="222"/>
      <c r="X18" s="222"/>
      <c r="Y18" s="223"/>
    </row>
    <row r="19" spans="2:25" ht="19.5" thickBot="1">
      <c r="B19" s="45" t="s">
        <v>85</v>
      </c>
      <c r="C19" s="47"/>
      <c r="D19" s="47"/>
      <c r="E19" s="199"/>
      <c r="F19" s="199"/>
      <c r="G19" s="199"/>
      <c r="H19" s="199"/>
      <c r="I19" s="199"/>
      <c r="J19" s="199"/>
      <c r="K19" s="199"/>
      <c r="L19" s="199"/>
      <c r="M19" s="199"/>
      <c r="N19" s="199"/>
      <c r="O19" s="199"/>
      <c r="P19" s="199"/>
      <c r="Q19" s="199"/>
      <c r="R19" s="199"/>
      <c r="S19" s="199"/>
      <c r="T19" s="199"/>
      <c r="U19" s="199"/>
      <c r="V19" s="199"/>
      <c r="W19" s="199"/>
      <c r="X19" s="199"/>
      <c r="Y19" s="200"/>
    </row>
    <row r="20" spans="2:25" ht="19.5" thickBot="1">
      <c r="B20" s="218"/>
      <c r="C20" s="219"/>
      <c r="D20" s="219"/>
      <c r="E20" s="219"/>
      <c r="F20" s="219"/>
      <c r="G20" s="219"/>
      <c r="H20" s="219"/>
      <c r="I20" s="219"/>
      <c r="J20" s="219"/>
      <c r="K20" s="219"/>
      <c r="L20" s="219"/>
      <c r="M20" s="219"/>
      <c r="N20" s="219"/>
      <c r="O20" s="219"/>
      <c r="P20" s="219"/>
      <c r="Q20" s="219"/>
      <c r="R20" s="219"/>
      <c r="S20" s="219"/>
      <c r="T20" s="219"/>
      <c r="U20" s="219"/>
      <c r="V20" s="219"/>
      <c r="W20" s="219"/>
      <c r="X20" s="219"/>
      <c r="Y20" s="220"/>
    </row>
    <row r="21" spans="2:25" ht="19.5" thickBot="1">
      <c r="B21" s="46" t="s">
        <v>86</v>
      </c>
      <c r="C21" s="48"/>
      <c r="D21" s="48"/>
      <c r="E21" s="199"/>
      <c r="F21" s="199"/>
      <c r="G21" s="199"/>
      <c r="H21" s="199"/>
      <c r="I21" s="199"/>
      <c r="J21" s="199"/>
      <c r="K21" s="199"/>
      <c r="L21" s="199"/>
      <c r="M21" s="199"/>
      <c r="N21" s="199"/>
      <c r="O21" s="199"/>
      <c r="P21" s="199"/>
      <c r="Q21" s="199"/>
      <c r="R21" s="199"/>
      <c r="S21" s="199"/>
      <c r="T21" s="199"/>
      <c r="U21" s="199"/>
      <c r="V21" s="199"/>
      <c r="W21" s="199"/>
      <c r="X21" s="199"/>
      <c r="Y21" s="200"/>
    </row>
    <row r="22" spans="2:25" ht="19.5" thickBot="1">
      <c r="B22" s="218"/>
      <c r="C22" s="219"/>
      <c r="D22" s="219"/>
      <c r="E22" s="219"/>
      <c r="F22" s="219"/>
      <c r="G22" s="219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19"/>
      <c r="W22" s="219"/>
      <c r="X22" s="219"/>
      <c r="Y22" s="220"/>
    </row>
    <row r="25" spans="2:25">
      <c r="P25" s="35"/>
      <c r="S25" s="35"/>
      <c r="W25" s="35"/>
    </row>
    <row r="26" spans="2:25">
      <c r="P26" s="35"/>
      <c r="S26" s="35"/>
      <c r="W26" s="35"/>
    </row>
  </sheetData>
  <mergeCells count="57">
    <mergeCell ref="V3:X3"/>
    <mergeCell ref="F4:H8"/>
    <mergeCell ref="V13:X13"/>
    <mergeCell ref="V9:X9"/>
    <mergeCell ref="V10:X10"/>
    <mergeCell ref="V11:X11"/>
    <mergeCell ref="V12:X12"/>
    <mergeCell ref="V4:X8"/>
    <mergeCell ref="J4:L8"/>
    <mergeCell ref="R4:T8"/>
    <mergeCell ref="B3:D3"/>
    <mergeCell ref="F3:H3"/>
    <mergeCell ref="J3:L3"/>
    <mergeCell ref="N3:P3"/>
    <mergeCell ref="R3:T3"/>
    <mergeCell ref="B13:D13"/>
    <mergeCell ref="B5:D5"/>
    <mergeCell ref="B6:D6"/>
    <mergeCell ref="B7:D7"/>
    <mergeCell ref="B4:D4"/>
    <mergeCell ref="B8:D8"/>
    <mergeCell ref="B9:D9"/>
    <mergeCell ref="B10:D10"/>
    <mergeCell ref="B11:D11"/>
    <mergeCell ref="B12:D12"/>
    <mergeCell ref="B22:Y22"/>
    <mergeCell ref="B16:Y16"/>
    <mergeCell ref="B18:Y18"/>
    <mergeCell ref="R10:T10"/>
    <mergeCell ref="R11:T11"/>
    <mergeCell ref="R12:T12"/>
    <mergeCell ref="R13:T13"/>
    <mergeCell ref="B20:Y20"/>
    <mergeCell ref="N10:P10"/>
    <mergeCell ref="N11:P11"/>
    <mergeCell ref="N12:P12"/>
    <mergeCell ref="N13:P13"/>
    <mergeCell ref="J10:L10"/>
    <mergeCell ref="J11:L11"/>
    <mergeCell ref="J12:L12"/>
    <mergeCell ref="J13:L13"/>
    <mergeCell ref="E15:Y15"/>
    <mergeCell ref="E17:Y17"/>
    <mergeCell ref="E19:Y19"/>
    <mergeCell ref="E21:Y21"/>
    <mergeCell ref="B1:D1"/>
    <mergeCell ref="F1:H1"/>
    <mergeCell ref="J1:L1"/>
    <mergeCell ref="N9:P9"/>
    <mergeCell ref="J9:L9"/>
    <mergeCell ref="F9:H9"/>
    <mergeCell ref="F10:H10"/>
    <mergeCell ref="R9:T9"/>
    <mergeCell ref="N4:P8"/>
    <mergeCell ref="F11:H11"/>
    <mergeCell ref="F12:H12"/>
    <mergeCell ref="F13:H13"/>
  </mergeCells>
  <pageMargins left="0.7" right="0.7" top="0.75" bottom="0.75" header="0.3" footer="0.3"/>
  <pageSetup paperSize="9" scale="55" orientation="landscape" errors="dash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B1:P21"/>
  <sheetViews>
    <sheetView zoomScale="106" zoomScaleNormal="70" workbookViewId="0">
      <pane xSplit="5" topLeftCell="L1" activePane="topRight" state="frozen"/>
      <selection activeCell="P21" sqref="P21"/>
      <selection pane="topRight" activeCell="L14" sqref="L14"/>
    </sheetView>
  </sheetViews>
  <sheetFormatPr defaultColWidth="8.7109375" defaultRowHeight="18.75"/>
  <cols>
    <col min="1" max="1" width="10.7109375" style="69" customWidth="1"/>
    <col min="2" max="2" width="38.7109375" style="69" customWidth="1"/>
    <col min="3" max="3" width="50.140625" style="69" bestFit="1" customWidth="1"/>
    <col min="4" max="4" width="8.7109375" style="69" customWidth="1"/>
    <col min="5" max="5" width="14.42578125" style="69" customWidth="1"/>
    <col min="6" max="6" width="8.7109375" style="69" customWidth="1"/>
    <col min="7" max="7" width="14" style="69" customWidth="1"/>
    <col min="8" max="8" width="8.7109375" style="69" customWidth="1"/>
    <col min="9" max="9" width="18.140625" style="69" customWidth="1"/>
    <col min="10" max="10" width="8.7109375" style="69"/>
    <col min="11" max="11" width="21.42578125" style="69" customWidth="1"/>
    <col min="12" max="12" width="8.7109375" style="69"/>
    <col min="13" max="13" width="18" style="69" customWidth="1"/>
    <col min="14" max="14" width="18.140625" style="69" customWidth="1"/>
    <col min="15" max="16384" width="8.7109375" style="69"/>
  </cols>
  <sheetData>
    <row r="1" spans="2:14" ht="19.5" thickBot="1">
      <c r="B1" s="248" t="s">
        <v>36</v>
      </c>
      <c r="C1" s="249"/>
      <c r="D1" s="110">
        <v>0.2</v>
      </c>
      <c r="E1" s="112"/>
      <c r="F1" s="110">
        <v>0.2</v>
      </c>
      <c r="G1" s="113"/>
      <c r="H1" s="110">
        <v>0.2</v>
      </c>
      <c r="I1" s="113"/>
      <c r="J1" s="110">
        <v>0.2</v>
      </c>
      <c r="K1" s="113"/>
      <c r="L1" s="110">
        <v>0.2</v>
      </c>
      <c r="M1" s="113"/>
      <c r="N1" s="114"/>
    </row>
    <row r="2" spans="2:14" ht="19.5" thickBot="1">
      <c r="B2" s="115"/>
      <c r="N2" s="116"/>
    </row>
    <row r="3" spans="2:14" ht="19.5" thickBot="1">
      <c r="B3" s="127" t="s">
        <v>37</v>
      </c>
      <c r="C3" s="103" t="s">
        <v>38</v>
      </c>
      <c r="D3" s="106" t="s">
        <v>26</v>
      </c>
      <c r="E3" s="126" t="s">
        <v>56</v>
      </c>
      <c r="F3" s="106" t="s">
        <v>73</v>
      </c>
      <c r="G3" s="126" t="s">
        <v>56</v>
      </c>
      <c r="H3" s="106" t="s">
        <v>76</v>
      </c>
      <c r="I3" s="126" t="s">
        <v>56</v>
      </c>
      <c r="J3" s="106" t="s">
        <v>77</v>
      </c>
      <c r="K3" s="126" t="s">
        <v>56</v>
      </c>
      <c r="L3" s="106" t="s">
        <v>78</v>
      </c>
      <c r="M3" s="149" t="s">
        <v>56</v>
      </c>
      <c r="N3" s="106" t="s">
        <v>30</v>
      </c>
    </row>
    <row r="4" spans="2:14" ht="20.25">
      <c r="B4" s="176" t="s">
        <v>116</v>
      </c>
      <c r="C4" s="147"/>
      <c r="D4" s="72">
        <v>3</v>
      </c>
      <c r="E4" s="67"/>
      <c r="F4" s="72">
        <v>3</v>
      </c>
      <c r="G4" s="67"/>
      <c r="H4" s="72">
        <v>2</v>
      </c>
      <c r="I4" s="67"/>
      <c r="J4" s="72">
        <v>2.5</v>
      </c>
      <c r="K4" s="67"/>
      <c r="L4" s="72">
        <v>3.25</v>
      </c>
      <c r="M4" s="193"/>
      <c r="N4" s="107">
        <f>AVERAGE(F4,H4,J4,L4)</f>
        <v>2.6875</v>
      </c>
    </row>
    <row r="5" spans="2:14">
      <c r="B5" s="176" t="s">
        <v>117</v>
      </c>
      <c r="C5" s="177" t="s">
        <v>110</v>
      </c>
      <c r="D5" s="72">
        <v>3</v>
      </c>
      <c r="E5" s="67"/>
      <c r="F5" s="72">
        <v>2.5</v>
      </c>
      <c r="G5" s="67"/>
      <c r="H5" s="72">
        <v>2</v>
      </c>
      <c r="I5" s="67"/>
      <c r="J5" s="72">
        <v>2.5</v>
      </c>
      <c r="K5" s="67"/>
      <c r="L5" s="72">
        <v>3</v>
      </c>
      <c r="M5" s="150" t="s">
        <v>170</v>
      </c>
      <c r="N5" s="108">
        <f t="shared" ref="N5:N12" si="0">AVERAGE(F5,H5,J5,L5)</f>
        <v>2.5</v>
      </c>
    </row>
    <row r="6" spans="2:14" ht="37.5">
      <c r="B6" s="176" t="s">
        <v>118</v>
      </c>
      <c r="C6" s="177" t="s">
        <v>124</v>
      </c>
      <c r="D6" s="72">
        <v>3</v>
      </c>
      <c r="E6" s="67"/>
      <c r="F6" s="72">
        <v>2.5</v>
      </c>
      <c r="G6" s="67"/>
      <c r="H6" s="72">
        <v>2</v>
      </c>
      <c r="I6" s="67"/>
      <c r="J6" s="72">
        <v>2</v>
      </c>
      <c r="K6" s="67"/>
      <c r="L6" s="72">
        <v>2</v>
      </c>
      <c r="M6" s="150" t="s">
        <v>171</v>
      </c>
      <c r="N6" s="108">
        <f t="shared" si="0"/>
        <v>2.125</v>
      </c>
    </row>
    <row r="7" spans="2:14" ht="56.25">
      <c r="B7" s="176" t="s">
        <v>119</v>
      </c>
      <c r="C7" s="177" t="s">
        <v>125</v>
      </c>
      <c r="D7" s="72">
        <v>3</v>
      </c>
      <c r="E7" s="67"/>
      <c r="F7" s="72">
        <v>2</v>
      </c>
      <c r="G7" s="67"/>
      <c r="H7" s="72">
        <v>2</v>
      </c>
      <c r="I7" s="67" t="s">
        <v>154</v>
      </c>
      <c r="J7" s="72">
        <v>2</v>
      </c>
      <c r="K7" s="67" t="s">
        <v>162</v>
      </c>
      <c r="L7" s="72">
        <v>1</v>
      </c>
      <c r="M7" s="150" t="s">
        <v>172</v>
      </c>
      <c r="N7" s="108">
        <f t="shared" si="0"/>
        <v>1.75</v>
      </c>
    </row>
    <row r="8" spans="2:14" ht="75">
      <c r="B8" s="176" t="s">
        <v>120</v>
      </c>
      <c r="C8" s="177" t="s">
        <v>126</v>
      </c>
      <c r="D8" s="72">
        <v>3</v>
      </c>
      <c r="E8" s="67"/>
      <c r="F8" s="72">
        <v>3</v>
      </c>
      <c r="G8" s="67"/>
      <c r="H8" s="72">
        <v>3.25</v>
      </c>
      <c r="I8" s="67"/>
      <c r="J8" s="72">
        <v>3.5</v>
      </c>
      <c r="K8" s="67" t="s">
        <v>163</v>
      </c>
      <c r="L8" s="72">
        <v>3.5</v>
      </c>
      <c r="M8" s="150" t="s">
        <v>173</v>
      </c>
      <c r="N8" s="108">
        <f t="shared" si="0"/>
        <v>3.3125</v>
      </c>
    </row>
    <row r="9" spans="2:14">
      <c r="B9" s="151"/>
      <c r="C9" s="70"/>
      <c r="D9" s="72"/>
      <c r="E9" s="67"/>
      <c r="F9" s="72"/>
      <c r="G9" s="67"/>
      <c r="H9" s="72"/>
      <c r="I9" s="67"/>
      <c r="J9" s="72"/>
      <c r="K9" s="67"/>
      <c r="L9" s="72"/>
      <c r="M9" s="150"/>
      <c r="N9" s="108" t="e">
        <f t="shared" si="0"/>
        <v>#DIV/0!</v>
      </c>
    </row>
    <row r="10" spans="2:14">
      <c r="B10" s="151"/>
      <c r="C10" s="70"/>
      <c r="D10" s="72"/>
      <c r="E10" s="67"/>
      <c r="F10" s="72"/>
      <c r="G10" s="67"/>
      <c r="H10" s="72"/>
      <c r="I10" s="67"/>
      <c r="J10" s="72"/>
      <c r="K10" s="67"/>
      <c r="L10" s="72"/>
      <c r="M10" s="150"/>
      <c r="N10" s="108" t="e">
        <f t="shared" si="0"/>
        <v>#DIV/0!</v>
      </c>
    </row>
    <row r="11" spans="2:14">
      <c r="B11" s="49"/>
      <c r="C11" s="70"/>
      <c r="D11" s="72"/>
      <c r="E11" s="67"/>
      <c r="F11" s="72"/>
      <c r="G11" s="67"/>
      <c r="H11" s="72"/>
      <c r="I11" s="67"/>
      <c r="J11" s="72"/>
      <c r="K11" s="67"/>
      <c r="L11" s="72"/>
      <c r="M11" s="150"/>
      <c r="N11" s="108" t="e">
        <f t="shared" si="0"/>
        <v>#DIV/0!</v>
      </c>
    </row>
    <row r="12" spans="2:14" ht="19.5" thickBot="1">
      <c r="B12" s="73"/>
      <c r="C12" s="71"/>
      <c r="D12" s="74"/>
      <c r="E12" s="75"/>
      <c r="F12" s="74"/>
      <c r="G12" s="75"/>
      <c r="H12" s="74"/>
      <c r="I12" s="75"/>
      <c r="J12" s="74"/>
      <c r="K12" s="75"/>
      <c r="L12" s="74"/>
      <c r="M12" s="152"/>
      <c r="N12" s="109" t="e">
        <f t="shared" si="0"/>
        <v>#DIV/0!</v>
      </c>
    </row>
    <row r="13" spans="2:14" ht="19.5" thickBot="1">
      <c r="B13" s="102"/>
      <c r="C13" s="103" t="s">
        <v>39</v>
      </c>
      <c r="D13" s="104">
        <f>IF(SUM(D3:D12)=0,0,AVERAGE(D3:D12))</f>
        <v>3</v>
      </c>
      <c r="E13" s="105"/>
      <c r="F13" s="104">
        <f>IF(SUM(F3:F12)=0,0,AVERAGE(F3:F12))</f>
        <v>2.6</v>
      </c>
      <c r="G13" s="105"/>
      <c r="H13" s="104">
        <f>IF(SUM(H3:H12)=0,0,AVERAGE(H3:H12))</f>
        <v>2.25</v>
      </c>
      <c r="I13" s="105"/>
      <c r="J13" s="104">
        <f>IF(SUM(J3:J12)=0,0,AVERAGE(J3:J12))</f>
        <v>2.5</v>
      </c>
      <c r="K13" s="105"/>
      <c r="L13" s="104">
        <f>IF(SUM(L3:L12)=0,0,AVERAGE(L3:L12))</f>
        <v>2.5499999999999998</v>
      </c>
      <c r="M13" s="153"/>
      <c r="N13" s="104"/>
    </row>
    <row r="17" spans="14:16" ht="318.75">
      <c r="O17" s="69">
        <v>2</v>
      </c>
      <c r="P17" s="69" t="s">
        <v>60</v>
      </c>
    </row>
    <row r="18" spans="14:16" ht="150">
      <c r="O18" s="69">
        <v>3.5</v>
      </c>
      <c r="P18" s="69" t="s">
        <v>61</v>
      </c>
    </row>
    <row r="19" spans="14:16" ht="409.5">
      <c r="O19" s="69">
        <v>3</v>
      </c>
      <c r="P19" s="69" t="s">
        <v>63</v>
      </c>
    </row>
    <row r="20" spans="14:16" ht="187.5">
      <c r="O20" s="69">
        <v>1</v>
      </c>
      <c r="P20" s="69" t="s">
        <v>62</v>
      </c>
    </row>
    <row r="21" spans="14:16">
      <c r="N21" s="76">
        <v>0.2</v>
      </c>
    </row>
  </sheetData>
  <mergeCells count="1">
    <mergeCell ref="B1:C1"/>
  </mergeCells>
  <pageMargins left="0.7" right="0.7" top="0.75" bottom="0.75" header="0.3" footer="0.3"/>
  <pageSetup paperSize="9" scale="52" orientation="landscape" errors="dash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P26"/>
  <sheetViews>
    <sheetView zoomScale="64" zoomScaleNormal="85" workbookViewId="0">
      <selection activeCell="C11" sqref="C11"/>
    </sheetView>
  </sheetViews>
  <sheetFormatPr defaultColWidth="8.7109375" defaultRowHeight="18.75"/>
  <cols>
    <col min="1" max="1" width="10.7109375" style="88" customWidth="1"/>
    <col min="2" max="2" width="36.7109375" style="88" customWidth="1"/>
    <col min="3" max="3" width="53.7109375" style="88" customWidth="1"/>
    <col min="4" max="4" width="8.7109375" style="88" customWidth="1"/>
    <col min="5" max="5" width="20.42578125" style="88" customWidth="1"/>
    <col min="6" max="6" width="8.7109375" style="88" customWidth="1"/>
    <col min="7" max="7" width="8.7109375" style="88" bestFit="1" customWidth="1"/>
    <col min="8" max="8" width="8.7109375" style="88" customWidth="1"/>
    <col min="9" max="9" width="8.7109375" style="88" bestFit="1" customWidth="1"/>
    <col min="10" max="10" width="8.7109375" style="88"/>
    <col min="11" max="11" width="8.7109375" style="88" bestFit="1" customWidth="1"/>
    <col min="12" max="12" width="8.7109375" style="88"/>
    <col min="13" max="13" width="8.7109375" style="88" bestFit="1" customWidth="1"/>
    <col min="14" max="14" width="18.140625" style="88" customWidth="1"/>
    <col min="15" max="16384" width="8.7109375" style="88"/>
  </cols>
  <sheetData>
    <row r="1" spans="2:14">
      <c r="B1" s="248" t="s">
        <v>40</v>
      </c>
      <c r="C1" s="249"/>
      <c r="D1" s="117"/>
      <c r="E1" s="112"/>
      <c r="F1" s="118"/>
      <c r="G1" s="119"/>
      <c r="H1" s="118"/>
      <c r="I1" s="119"/>
      <c r="J1" s="118"/>
      <c r="K1" s="119"/>
      <c r="L1" s="118"/>
      <c r="M1" s="119"/>
      <c r="N1" s="120"/>
    </row>
    <row r="2" spans="2:14">
      <c r="B2" s="121"/>
      <c r="N2" s="122"/>
    </row>
    <row r="3" spans="2:14" ht="38.25" thickBot="1">
      <c r="B3" s="155" t="s">
        <v>41</v>
      </c>
      <c r="C3" s="156" t="s">
        <v>42</v>
      </c>
      <c r="D3" s="156" t="s">
        <v>26</v>
      </c>
      <c r="E3" s="156" t="s">
        <v>56</v>
      </c>
      <c r="F3" s="156" t="s">
        <v>73</v>
      </c>
      <c r="G3" s="156" t="s">
        <v>56</v>
      </c>
      <c r="H3" s="156" t="s">
        <v>76</v>
      </c>
      <c r="I3" s="156" t="s">
        <v>56</v>
      </c>
      <c r="J3" s="156" t="s">
        <v>77</v>
      </c>
      <c r="K3" s="156" t="s">
        <v>56</v>
      </c>
      <c r="L3" s="156" t="s">
        <v>78</v>
      </c>
      <c r="M3" s="156" t="s">
        <v>56</v>
      </c>
      <c r="N3" s="123" t="s">
        <v>30</v>
      </c>
    </row>
    <row r="4" spans="2:14">
      <c r="B4" s="167"/>
      <c r="C4" s="167"/>
      <c r="D4" s="160"/>
      <c r="E4" s="160"/>
      <c r="F4" s="167"/>
      <c r="G4" s="166"/>
      <c r="H4" s="161"/>
      <c r="I4" s="161"/>
      <c r="J4" s="161"/>
      <c r="K4" s="161"/>
      <c r="L4" s="161"/>
      <c r="M4" s="162"/>
      <c r="N4" s="154" t="e">
        <f>AVERAGE(F4:L4)</f>
        <v>#DIV/0!</v>
      </c>
    </row>
    <row r="5" spans="2:14">
      <c r="B5" s="168"/>
      <c r="C5" s="168"/>
      <c r="D5" s="124"/>
      <c r="E5" s="124"/>
      <c r="F5" s="168"/>
      <c r="G5" s="148"/>
      <c r="H5" s="82"/>
      <c r="I5" s="82"/>
      <c r="J5" s="82"/>
      <c r="K5" s="82"/>
      <c r="L5" s="82"/>
      <c r="M5" s="163"/>
      <c r="N5" s="154" t="e">
        <f t="shared" ref="N5:N17" si="0">AVERAGE(F5:L5)</f>
        <v>#DIV/0!</v>
      </c>
    </row>
    <row r="6" spans="2:14" ht="19.5" thickBot="1">
      <c r="B6" s="168"/>
      <c r="C6" s="168"/>
      <c r="D6" s="174"/>
      <c r="E6" s="124"/>
      <c r="F6" s="168"/>
      <c r="G6" s="148"/>
      <c r="H6" s="82"/>
      <c r="I6" s="82"/>
      <c r="J6" s="82"/>
      <c r="K6" s="82"/>
      <c r="L6" s="82"/>
      <c r="M6" s="163"/>
      <c r="N6" s="154" t="e">
        <f t="shared" si="0"/>
        <v>#DIV/0!</v>
      </c>
    </row>
    <row r="7" spans="2:14">
      <c r="B7" s="168"/>
      <c r="C7" s="168"/>
      <c r="D7" s="167"/>
      <c r="E7" s="124"/>
      <c r="F7" s="168"/>
      <c r="G7" s="148"/>
      <c r="H7" s="82"/>
      <c r="I7" s="82"/>
      <c r="J7" s="82"/>
      <c r="K7" s="82"/>
      <c r="L7" s="82"/>
      <c r="M7" s="163"/>
      <c r="N7" s="154" t="e">
        <f t="shared" si="0"/>
        <v>#DIV/0!</v>
      </c>
    </row>
    <row r="8" spans="2:14">
      <c r="B8" s="168"/>
      <c r="C8" s="168"/>
      <c r="D8" s="168"/>
      <c r="E8" s="124"/>
      <c r="F8" s="168"/>
      <c r="G8" s="148"/>
      <c r="H8" s="82"/>
      <c r="I8" s="82"/>
      <c r="J8" s="82"/>
      <c r="K8" s="82"/>
      <c r="L8" s="82"/>
      <c r="M8" s="163"/>
      <c r="N8" s="154" t="e">
        <f t="shared" si="0"/>
        <v>#DIV/0!</v>
      </c>
    </row>
    <row r="9" spans="2:14">
      <c r="B9" s="168"/>
      <c r="C9" s="168"/>
      <c r="D9" s="168"/>
      <c r="E9" s="124"/>
      <c r="F9" s="168"/>
      <c r="G9" s="148"/>
      <c r="H9" s="82"/>
      <c r="I9" s="82"/>
      <c r="J9" s="82"/>
      <c r="K9" s="82"/>
      <c r="L9" s="82"/>
      <c r="M9" s="163"/>
      <c r="N9" s="154" t="e">
        <f t="shared" si="0"/>
        <v>#DIV/0!</v>
      </c>
    </row>
    <row r="10" spans="2:14">
      <c r="B10" s="168"/>
      <c r="C10" s="168"/>
      <c r="D10" s="168"/>
      <c r="E10" s="124"/>
      <c r="F10" s="168"/>
      <c r="G10" s="148"/>
      <c r="H10" s="82"/>
      <c r="I10" s="83"/>
      <c r="J10" s="82"/>
      <c r="K10" s="82"/>
      <c r="L10" s="82"/>
      <c r="M10" s="163"/>
      <c r="N10" s="154" t="e">
        <f t="shared" si="0"/>
        <v>#DIV/0!</v>
      </c>
    </row>
    <row r="11" spans="2:14">
      <c r="B11" s="168"/>
      <c r="C11" s="168"/>
      <c r="D11" s="168"/>
      <c r="E11" s="82"/>
      <c r="F11" s="163"/>
      <c r="G11" s="148"/>
      <c r="H11" s="82"/>
      <c r="I11" s="82"/>
      <c r="J11" s="82"/>
      <c r="K11" s="82"/>
      <c r="L11" s="82"/>
      <c r="M11" s="163"/>
      <c r="N11" s="154" t="e">
        <f t="shared" si="0"/>
        <v>#DIV/0!</v>
      </c>
    </row>
    <row r="12" spans="2:14">
      <c r="B12" s="168"/>
      <c r="C12" s="168"/>
      <c r="D12" s="168"/>
      <c r="E12" s="82"/>
      <c r="F12" s="163"/>
      <c r="G12" s="148"/>
      <c r="H12" s="82"/>
      <c r="I12" s="82"/>
      <c r="J12" s="82"/>
      <c r="K12" s="82"/>
      <c r="L12" s="82"/>
      <c r="M12" s="163"/>
      <c r="N12" s="154" t="e">
        <f t="shared" si="0"/>
        <v>#DIV/0!</v>
      </c>
    </row>
    <row r="13" spans="2:14">
      <c r="B13" s="168"/>
      <c r="C13" s="168"/>
      <c r="D13" s="168"/>
      <c r="E13" s="82"/>
      <c r="F13" s="163"/>
      <c r="G13" s="148"/>
      <c r="H13" s="82"/>
      <c r="I13" s="82"/>
      <c r="J13" s="82"/>
      <c r="K13" s="82"/>
      <c r="L13" s="82"/>
      <c r="M13" s="163"/>
      <c r="N13" s="154" t="e">
        <f t="shared" si="0"/>
        <v>#DIV/0!</v>
      </c>
    </row>
    <row r="14" spans="2:14">
      <c r="B14" s="168"/>
      <c r="C14" s="168"/>
      <c r="D14" s="168"/>
      <c r="E14" s="82"/>
      <c r="F14" s="163"/>
      <c r="G14" s="148"/>
      <c r="H14" s="82"/>
      <c r="I14" s="82"/>
      <c r="J14" s="82"/>
      <c r="K14" s="82"/>
      <c r="L14" s="82"/>
      <c r="M14" s="163"/>
      <c r="N14" s="154" t="e">
        <f t="shared" si="0"/>
        <v>#DIV/0!</v>
      </c>
    </row>
    <row r="15" spans="2:14">
      <c r="B15" s="169"/>
      <c r="C15" s="171"/>
      <c r="D15" s="168"/>
      <c r="E15" s="82"/>
      <c r="F15" s="163"/>
      <c r="G15" s="148"/>
      <c r="H15" s="82"/>
      <c r="I15" s="82"/>
      <c r="J15" s="82"/>
      <c r="K15" s="82"/>
      <c r="L15" s="82"/>
      <c r="M15" s="163"/>
      <c r="N15" s="154" t="e">
        <f t="shared" si="0"/>
        <v>#DIV/0!</v>
      </c>
    </row>
    <row r="16" spans="2:14">
      <c r="B16" s="169"/>
      <c r="C16" s="171"/>
      <c r="D16" s="168"/>
      <c r="E16" s="82"/>
      <c r="F16" s="163"/>
      <c r="G16" s="148"/>
      <c r="H16" s="82"/>
      <c r="I16" s="82"/>
      <c r="J16" s="82"/>
      <c r="K16" s="82"/>
      <c r="L16" s="82"/>
      <c r="M16" s="163"/>
      <c r="N16" s="154" t="e">
        <f t="shared" si="0"/>
        <v>#DIV/0!</v>
      </c>
    </row>
    <row r="17" spans="2:16" ht="19.5" thickBot="1">
      <c r="B17" s="170"/>
      <c r="C17" s="172"/>
      <c r="D17" s="175"/>
      <c r="E17" s="164"/>
      <c r="F17" s="165"/>
      <c r="G17" s="173"/>
      <c r="H17" s="164"/>
      <c r="I17" s="164"/>
      <c r="J17" s="164"/>
      <c r="K17" s="164"/>
      <c r="L17" s="164"/>
      <c r="M17" s="165"/>
      <c r="N17" s="154" t="e">
        <f t="shared" si="0"/>
        <v>#DIV/0!</v>
      </c>
    </row>
    <row r="18" spans="2:16" ht="19.5" thickBot="1">
      <c r="B18" s="157"/>
      <c r="C18" s="158" t="s">
        <v>39</v>
      </c>
      <c r="D18" s="159">
        <f>IF(SUM(D3:D17)=0,0,AVERAGE(D3:D17))</f>
        <v>0</v>
      </c>
      <c r="E18" s="159"/>
      <c r="F18" s="159">
        <f>IF(SUM(F3:F17)=0,0,AVERAGE(F3:F17))</f>
        <v>0</v>
      </c>
      <c r="G18" s="159"/>
      <c r="H18" s="159">
        <f>IF(SUM(H3:H17)=0,0,AVERAGE(H3:H17))</f>
        <v>0</v>
      </c>
      <c r="I18" s="159"/>
      <c r="J18" s="159">
        <f>IF(SUM(J3:J17)=0,0,AVERAGE(J3:J17))</f>
        <v>0</v>
      </c>
      <c r="K18" s="159"/>
      <c r="L18" s="159">
        <f>IF(SUM(L3:L17)=0,0,AVERAGE(L3:L17))</f>
        <v>0</v>
      </c>
      <c r="M18" s="159"/>
      <c r="N18" s="125"/>
    </row>
    <row r="22" spans="2:16" ht="318.75">
      <c r="O22" s="88">
        <v>2</v>
      </c>
      <c r="P22" s="88" t="s">
        <v>60</v>
      </c>
    </row>
    <row r="23" spans="2:16" ht="150">
      <c r="O23" s="88">
        <v>3.5</v>
      </c>
      <c r="P23" s="88" t="s">
        <v>61</v>
      </c>
    </row>
    <row r="24" spans="2:16" ht="409.5">
      <c r="O24" s="88">
        <v>3</v>
      </c>
      <c r="P24" s="88" t="s">
        <v>63</v>
      </c>
    </row>
    <row r="25" spans="2:16" ht="187.5">
      <c r="O25" s="88">
        <v>1</v>
      </c>
      <c r="P25" s="88" t="s">
        <v>62</v>
      </c>
    </row>
    <row r="26" spans="2:16">
      <c r="N26" s="89"/>
    </row>
  </sheetData>
  <mergeCells count="1">
    <mergeCell ref="B1:C1"/>
  </mergeCells>
  <pageMargins left="0.7" right="0.7" top="0.75" bottom="0.75" header="0.3" footer="0.3"/>
  <pageSetup paperSize="9" scale="59" orientation="landscape" errors="dash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4:V24"/>
  <sheetViews>
    <sheetView zoomScale="91" zoomScaleNormal="70" zoomScaleSheetLayoutView="50" workbookViewId="0">
      <selection activeCell="Q8" sqref="Q8"/>
    </sheetView>
  </sheetViews>
  <sheetFormatPr defaultColWidth="8.7109375" defaultRowHeight="18.75"/>
  <cols>
    <col min="1" max="1" width="8.7109375" style="34"/>
    <col min="2" max="2" width="9.42578125" style="34" bestFit="1" customWidth="1"/>
    <col min="3" max="3" width="13.42578125" style="34" bestFit="1" customWidth="1"/>
    <col min="4" max="4" width="28" style="44" bestFit="1" customWidth="1"/>
    <col min="5" max="5" width="15.42578125" style="40" bestFit="1" customWidth="1"/>
    <col min="6" max="6" width="8.7109375" style="34" bestFit="1" customWidth="1"/>
    <col min="7" max="7" width="19.7109375" style="34" bestFit="1" customWidth="1"/>
    <col min="8" max="8" width="6.140625" style="34" bestFit="1" customWidth="1"/>
    <col min="9" max="9" width="19.7109375" style="34" bestFit="1" customWidth="1"/>
    <col min="10" max="10" width="6.140625" style="34" bestFit="1" customWidth="1"/>
    <col min="11" max="11" width="19.7109375" style="34" bestFit="1" customWidth="1"/>
    <col min="12" max="12" width="11" style="34" customWidth="1"/>
    <col min="13" max="13" width="19.7109375" style="34" bestFit="1" customWidth="1"/>
    <col min="14" max="14" width="13.42578125" style="35" bestFit="1" customWidth="1"/>
    <col min="15" max="15" width="13.42578125" style="34" bestFit="1" customWidth="1"/>
    <col min="16" max="16384" width="8.7109375" style="34"/>
  </cols>
  <sheetData>
    <row r="4" spans="2:22" s="44" customFormat="1" ht="37.5">
      <c r="B4" s="36" t="s">
        <v>25</v>
      </c>
      <c r="C4" s="50">
        <f>O9</f>
        <v>2.92</v>
      </c>
      <c r="D4" s="51">
        <f>C4/5/100%</f>
        <v>0.58399999999999996</v>
      </c>
      <c r="E4" s="37" t="s">
        <v>59</v>
      </c>
      <c r="F4" s="36" t="s">
        <v>26</v>
      </c>
      <c r="G4" s="36" t="s">
        <v>79</v>
      </c>
      <c r="H4" s="36" t="s">
        <v>73</v>
      </c>
      <c r="I4" s="36" t="s">
        <v>80</v>
      </c>
      <c r="J4" s="36" t="s">
        <v>76</v>
      </c>
      <c r="K4" s="36" t="s">
        <v>81</v>
      </c>
      <c r="L4" s="36" t="s">
        <v>77</v>
      </c>
      <c r="M4" s="36" t="s">
        <v>82</v>
      </c>
      <c r="N4" s="36" t="s">
        <v>78</v>
      </c>
      <c r="O4" s="52" t="s">
        <v>57</v>
      </c>
      <c r="V4" s="53"/>
    </row>
    <row r="5" spans="2:22" s="43" customFormat="1" ht="26.25" customHeight="1">
      <c r="D5" s="54" t="s">
        <v>32</v>
      </c>
      <c r="E5" s="38">
        <f>'Functional Dimension'!F10</f>
        <v>0.6</v>
      </c>
      <c r="F5" s="55">
        <f>IF(E5=0," ",Score!E5*'Functional Dimension'!F42)</f>
        <v>1.8599999999999997</v>
      </c>
      <c r="G5" s="38">
        <f>'Functional Dimension'!I10</f>
        <v>0.6</v>
      </c>
      <c r="H5" s="56">
        <f>IF(G5=0," ",G5*'Functional Dimension'!I42)</f>
        <v>1.89</v>
      </c>
      <c r="I5" s="38">
        <f>'Functional Dimension'!L10</f>
        <v>0.6</v>
      </c>
      <c r="J5" s="56">
        <f>IF(I5=0," ",I5*'Functional Dimension'!L42)</f>
        <v>2.0249999999999995</v>
      </c>
      <c r="K5" s="38">
        <f>'Functional Dimension'!O10</f>
        <v>0.6</v>
      </c>
      <c r="L5" s="56">
        <f>IF(K5=0," ",K5*'Functional Dimension'!O42)</f>
        <v>1.9049999999999998</v>
      </c>
      <c r="M5" s="38">
        <f>'Functional Dimension'!R10</f>
        <v>0.6</v>
      </c>
      <c r="N5" s="39">
        <f>IF(M5=0," ",M5*'Functional Dimension'!R42)</f>
        <v>1.7999999999999998</v>
      </c>
      <c r="O5" s="57">
        <f>AVERAGE(H5,J5,L5,N5)</f>
        <v>1.9049999999999996</v>
      </c>
    </row>
    <row r="6" spans="2:22" s="43" customFormat="1" ht="26.25" customHeight="1">
      <c r="D6" s="54" t="s">
        <v>33</v>
      </c>
      <c r="E6" s="38">
        <f>'Organizational Dimension'!E1</f>
        <v>0.2</v>
      </c>
      <c r="F6" s="55">
        <f>IF(E6=0," ",E6*'Organizational Dimension'!E14)</f>
        <v>0.57999999999999996</v>
      </c>
      <c r="G6" s="38">
        <f>'Organizational Dimension'!I1</f>
        <v>0.2</v>
      </c>
      <c r="H6" s="56">
        <f>IF(G6=0," ",G6*'Organizational Dimension'!I14)</f>
        <v>0.57999999999999996</v>
      </c>
      <c r="I6" s="38">
        <f>'Organizational Dimension'!M1</f>
        <v>0.2</v>
      </c>
      <c r="J6" s="56">
        <f>IF(I6=0," ",I6*'Organizational Dimension'!M14)</f>
        <v>0.5</v>
      </c>
      <c r="K6" s="38">
        <f>'Organizational Dimension'!Q1</f>
        <v>0.2</v>
      </c>
      <c r="L6" s="56">
        <f>IF(K6=0," ",K6*'Organizational Dimension'!Q14)</f>
        <v>0.5</v>
      </c>
      <c r="M6" s="38">
        <f>'Organizational Dimension'!U1</f>
        <v>0.2</v>
      </c>
      <c r="N6" s="39">
        <f>IF(M6=0," ",M6*'Organizational Dimension'!U14)</f>
        <v>0.5</v>
      </c>
      <c r="O6" s="57">
        <f t="shared" ref="O6:O8" si="0">AVERAGE(H6,J6,L6,N6)</f>
        <v>0.52</v>
      </c>
    </row>
    <row r="7" spans="2:22" s="43" customFormat="1" ht="26.25" customHeight="1">
      <c r="D7" s="54" t="s">
        <v>34</v>
      </c>
      <c r="E7" s="38">
        <f>'Self Development'!D1</f>
        <v>0.2</v>
      </c>
      <c r="F7" s="55">
        <f>IF(E7=0," ",'Self Development'!D13*$E$7)</f>
        <v>0.60000000000000009</v>
      </c>
      <c r="G7" s="38">
        <f>'Self Development'!F1</f>
        <v>0.2</v>
      </c>
      <c r="H7" s="58">
        <f>IF(G7=0," ",G7*'Self Development'!F13)</f>
        <v>0.52</v>
      </c>
      <c r="I7" s="38">
        <f>'Self Development'!H1</f>
        <v>0.2</v>
      </c>
      <c r="J7" s="58">
        <f>IF(I7=0," ",I7*'Self Development'!H13)</f>
        <v>0.45</v>
      </c>
      <c r="K7" s="38">
        <f>'Self Development'!J1</f>
        <v>0.2</v>
      </c>
      <c r="L7" s="58">
        <f>IF(K7=0," ",K7*'Self Development'!J13)</f>
        <v>0.5</v>
      </c>
      <c r="M7" s="38">
        <f>'Self Development'!L1</f>
        <v>0.2</v>
      </c>
      <c r="N7" s="39">
        <f>IF(M7=0," ",M7*'Self Development'!L13)</f>
        <v>0.51</v>
      </c>
      <c r="O7" s="57">
        <f t="shared" si="0"/>
        <v>0.495</v>
      </c>
    </row>
    <row r="8" spans="2:22" s="43" customFormat="1" ht="26.25" customHeight="1">
      <c r="D8" s="54" t="s">
        <v>35</v>
      </c>
      <c r="E8" s="38">
        <f>'Developing Others'!D1</f>
        <v>0</v>
      </c>
      <c r="F8" s="55" t="str">
        <f>IF(E8=0," ",'Developing Others'!D18*Score!$E$8)</f>
        <v xml:space="preserve"> </v>
      </c>
      <c r="G8" s="38">
        <f>'Developing Others'!F1</f>
        <v>0</v>
      </c>
      <c r="H8" s="58" t="str">
        <f>IF(G8=0," ",G8*'Developing Others'!F18)</f>
        <v xml:space="preserve"> </v>
      </c>
      <c r="I8" s="38">
        <f>'Developing Others'!H1</f>
        <v>0</v>
      </c>
      <c r="J8" s="58" t="str">
        <f>IF(I8=0," ",I8*'Developing Others'!H18)</f>
        <v xml:space="preserve"> </v>
      </c>
      <c r="K8" s="38">
        <f>'Developing Others'!J1</f>
        <v>0</v>
      </c>
      <c r="L8" s="58" t="str">
        <f>IF(K8=0," ",K8*'Developing Others'!J18)</f>
        <v xml:space="preserve"> </v>
      </c>
      <c r="M8" s="38">
        <f>'Developing Others'!L1</f>
        <v>0</v>
      </c>
      <c r="N8" s="39" t="str">
        <f>IF(M8=0," ",M8*'Developing Others'!L18)</f>
        <v xml:space="preserve"> </v>
      </c>
      <c r="O8" s="57" t="e">
        <f t="shared" si="0"/>
        <v>#DIV/0!</v>
      </c>
    </row>
    <row r="9" spans="2:22" s="43" customFormat="1" ht="26.25" customHeight="1">
      <c r="D9" s="36" t="s">
        <v>31</v>
      </c>
      <c r="E9" s="38">
        <f>SUM(E5:E8)</f>
        <v>1</v>
      </c>
      <c r="F9" s="59">
        <f>IF(SUM(F5:F8)=0," ",SUM(F5:F8))</f>
        <v>3.0399999999999996</v>
      </c>
      <c r="G9" s="38">
        <f>SUM(G5:G8)</f>
        <v>1</v>
      </c>
      <c r="H9" s="59">
        <f>IF(SUM(H5:H8)=0," ",SUM(H5:H8))</f>
        <v>2.9899999999999998</v>
      </c>
      <c r="I9" s="38">
        <f>SUM(I5:I8)</f>
        <v>1</v>
      </c>
      <c r="J9" s="59">
        <f>IF(SUM(J5:J8)=0," ",SUM(J5:J8))</f>
        <v>2.9749999999999996</v>
      </c>
      <c r="K9" s="38">
        <f>SUM(K5:K8)</f>
        <v>1</v>
      </c>
      <c r="L9" s="59">
        <f>IF(SUM(L5:L8)=0," ",SUM(L5:L8))</f>
        <v>2.9049999999999998</v>
      </c>
      <c r="M9" s="38">
        <f>SUM(M5:M8)</f>
        <v>1</v>
      </c>
      <c r="N9" s="59">
        <f>IF(SUM(N5:N8)=0," ",SUM(N5:N8))</f>
        <v>2.8099999999999996</v>
      </c>
      <c r="O9" s="57">
        <f>AVERAGE(H9,J9,L9,N9)</f>
        <v>2.92</v>
      </c>
    </row>
    <row r="20" spans="14:15">
      <c r="N20" s="34"/>
      <c r="O20" s="34">
        <v>2</v>
      </c>
    </row>
    <row r="21" spans="14:15">
      <c r="N21" s="34"/>
      <c r="O21" s="34">
        <v>3.5</v>
      </c>
    </row>
    <row r="22" spans="14:15">
      <c r="N22" s="34"/>
      <c r="O22" s="34">
        <v>3</v>
      </c>
    </row>
    <row r="23" spans="14:15">
      <c r="N23" s="34"/>
      <c r="O23" s="34">
        <v>1</v>
      </c>
    </row>
    <row r="24" spans="14:15">
      <c r="N24" s="68">
        <v>0.2</v>
      </c>
    </row>
  </sheetData>
  <sheetProtection algorithmName="SHA-512" hashValue="f+0zx2FEeFSNPn3Aww5ccSEHVJdYpaMQc8+7+DJYtNBIflGRa83/BJBowET+Ud+aM5zJ/20zofY7GPN8flhxbQ==" saltValue="zUUB4LeBRmDOdAsrXoN8fw==" spinCount="100000" sheet="1" objects="1" scenarios="1"/>
  <pageMargins left="0.7" right="0.7" top="0.75" bottom="0.75" header="0.3" footer="0.3"/>
  <pageSetup paperSize="9" scale="59" orientation="landscape" errors="dash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T76"/>
  <sheetViews>
    <sheetView topLeftCell="A59" workbookViewId="0">
      <selection activeCell="A66" sqref="A66:O66"/>
    </sheetView>
  </sheetViews>
  <sheetFormatPr defaultColWidth="4.140625" defaultRowHeight="15"/>
  <cols>
    <col min="12" max="12" width="5.140625" bestFit="1" customWidth="1"/>
    <col min="13" max="14" width="4.140625" customWidth="1"/>
    <col min="16" max="16" width="5.140625" bestFit="1" customWidth="1"/>
    <col min="17" max="17" width="4.7109375" bestFit="1" customWidth="1"/>
    <col min="18" max="18" width="5.140625" bestFit="1" customWidth="1"/>
    <col min="20" max="20" width="9.140625" bestFit="1" customWidth="1"/>
  </cols>
  <sheetData>
    <row r="1" spans="1:20" ht="31.5" customHeight="1">
      <c r="A1" s="263" t="str">
        <f>'Functional Dimension'!$C$2</f>
        <v>Client name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</row>
    <row r="2" spans="1:20" ht="23.25" customHeight="1">
      <c r="A2" s="263">
        <f>'Functional Dimension'!$C$6</f>
        <v>0</v>
      </c>
      <c r="B2" s="263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</row>
    <row r="3" spans="1:20" ht="15.75" thickBot="1">
      <c r="A3" s="290" t="str">
        <f>'Functional Dimension'!$F$2</f>
        <v>Performance Review for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</row>
    <row r="4" spans="1:20" ht="20.25" customHeight="1">
      <c r="A4" s="252" t="s">
        <v>0</v>
      </c>
      <c r="B4" s="250"/>
      <c r="C4" s="250"/>
      <c r="D4" s="250"/>
      <c r="E4" s="250"/>
      <c r="F4" s="250"/>
      <c r="G4" s="264" t="str">
        <f>'Functional Dimension'!E3</f>
        <v>Chandrakant Ambadas Karpe</v>
      </c>
      <c r="H4" s="264"/>
      <c r="I4" s="264"/>
      <c r="J4" s="264"/>
      <c r="K4" s="264"/>
      <c r="L4" s="250" t="s">
        <v>1</v>
      </c>
      <c r="M4" s="250"/>
      <c r="N4" s="250"/>
      <c r="O4" s="250"/>
      <c r="P4" s="250"/>
      <c r="Q4" s="264" t="s">
        <v>54</v>
      </c>
      <c r="R4" s="264"/>
      <c r="S4" s="264"/>
      <c r="T4" s="265"/>
    </row>
    <row r="5" spans="1:20" ht="20.25" customHeight="1">
      <c r="A5" s="253" t="s">
        <v>43</v>
      </c>
      <c r="B5" s="251"/>
      <c r="C5" s="251"/>
      <c r="D5" s="251"/>
      <c r="E5" s="251"/>
      <c r="F5" s="251"/>
      <c r="G5" s="255"/>
      <c r="H5" s="255"/>
      <c r="I5" s="255"/>
      <c r="J5" s="255"/>
      <c r="K5" s="255"/>
      <c r="L5" s="251" t="s">
        <v>28</v>
      </c>
      <c r="M5" s="251"/>
      <c r="N5" s="251"/>
      <c r="O5" s="251"/>
      <c r="P5" s="251"/>
      <c r="Q5" s="255"/>
      <c r="R5" s="255"/>
      <c r="S5" s="255"/>
      <c r="T5" s="266"/>
    </row>
    <row r="6" spans="1:20" ht="38.25" customHeight="1">
      <c r="A6" s="253" t="s">
        <v>2</v>
      </c>
      <c r="B6" s="251"/>
      <c r="C6" s="251"/>
      <c r="D6" s="251"/>
      <c r="E6" s="251"/>
      <c r="F6" s="251"/>
      <c r="G6" s="269" t="str">
        <f>'Functional Dimension'!E5</f>
        <v>Sr. Officer</v>
      </c>
      <c r="H6" s="270"/>
      <c r="I6" s="270"/>
      <c r="J6" s="270"/>
      <c r="K6" s="271"/>
      <c r="L6" s="251" t="s">
        <v>3</v>
      </c>
      <c r="M6" s="251"/>
      <c r="N6" s="251"/>
      <c r="O6" s="251"/>
      <c r="P6" s="251"/>
      <c r="Q6" s="255"/>
      <c r="R6" s="255"/>
      <c r="S6" s="255"/>
      <c r="T6" s="266"/>
    </row>
    <row r="7" spans="1:20" ht="20.25" customHeight="1">
      <c r="A7" s="253" t="s">
        <v>4</v>
      </c>
      <c r="B7" s="251"/>
      <c r="C7" s="251"/>
      <c r="D7" s="251"/>
      <c r="E7" s="251"/>
      <c r="F7" s="251"/>
      <c r="G7" s="255" t="str">
        <f>'Functional Dimension'!E6</f>
        <v>Dispatch</v>
      </c>
      <c r="H7" s="255"/>
      <c r="I7" s="255"/>
      <c r="J7" s="255"/>
      <c r="K7" s="255"/>
      <c r="L7" s="251" t="s">
        <v>5</v>
      </c>
      <c r="M7" s="251"/>
      <c r="N7" s="251"/>
      <c r="O7" s="251"/>
      <c r="P7" s="251"/>
      <c r="Q7" s="255"/>
      <c r="R7" s="255"/>
      <c r="S7" s="255"/>
      <c r="T7" s="266"/>
    </row>
    <row r="8" spans="1:20" ht="20.25" customHeight="1">
      <c r="A8" s="253" t="s">
        <v>44</v>
      </c>
      <c r="B8" s="251"/>
      <c r="C8" s="251"/>
      <c r="D8" s="251"/>
      <c r="E8" s="251"/>
      <c r="F8" s="251"/>
      <c r="G8" s="255"/>
      <c r="H8" s="255"/>
      <c r="I8" s="255"/>
      <c r="J8" s="255"/>
      <c r="K8" s="255"/>
      <c r="L8" s="251" t="s">
        <v>7</v>
      </c>
      <c r="M8" s="251"/>
      <c r="N8" s="251"/>
      <c r="O8" s="251"/>
      <c r="P8" s="251"/>
      <c r="Q8" s="255"/>
      <c r="R8" s="255"/>
      <c r="S8" s="255"/>
      <c r="T8" s="266"/>
    </row>
    <row r="9" spans="1:20" ht="20.25" customHeight="1" thickBot="1">
      <c r="A9" s="268" t="s">
        <v>8</v>
      </c>
      <c r="B9" s="254"/>
      <c r="C9" s="254"/>
      <c r="D9" s="254"/>
      <c r="E9" s="254"/>
      <c r="F9" s="254"/>
      <c r="G9" s="256">
        <f>'Functional Dimension'!I3</f>
        <v>0</v>
      </c>
      <c r="H9" s="256"/>
      <c r="I9" s="256"/>
      <c r="J9" s="256"/>
      <c r="K9" s="256"/>
      <c r="L9" s="254" t="s">
        <v>9</v>
      </c>
      <c r="M9" s="254"/>
      <c r="N9" s="254"/>
      <c r="O9" s="254"/>
      <c r="P9" s="254"/>
      <c r="Q9" s="256"/>
      <c r="R9" s="256"/>
      <c r="S9" s="256"/>
      <c r="T9" s="267"/>
    </row>
    <row r="11" spans="1:20" ht="15.75" thickBot="1">
      <c r="A11" s="4" t="s">
        <v>47</v>
      </c>
    </row>
    <row r="12" spans="1:20">
      <c r="A12" s="261" t="s">
        <v>12</v>
      </c>
      <c r="B12" s="262"/>
      <c r="C12" s="262"/>
      <c r="D12" s="262"/>
      <c r="E12" s="262"/>
      <c r="F12" s="262"/>
      <c r="G12" s="262" t="s">
        <v>46</v>
      </c>
      <c r="H12" s="262"/>
      <c r="I12" s="262"/>
      <c r="J12" s="262"/>
      <c r="K12" s="262"/>
      <c r="L12" s="9" t="s">
        <v>14</v>
      </c>
      <c r="M12" s="9" t="s">
        <v>26</v>
      </c>
      <c r="N12" s="9" t="s">
        <v>14</v>
      </c>
      <c r="O12" s="9" t="s">
        <v>15</v>
      </c>
      <c r="P12" s="9" t="s">
        <v>14</v>
      </c>
      <c r="Q12" s="9" t="s">
        <v>16</v>
      </c>
      <c r="R12" s="9" t="s">
        <v>14</v>
      </c>
      <c r="S12" s="9" t="s">
        <v>17</v>
      </c>
      <c r="T12" s="10" t="s">
        <v>45</v>
      </c>
    </row>
    <row r="13" spans="1:20">
      <c r="A13" s="257"/>
      <c r="B13" s="258"/>
      <c r="C13" s="258"/>
      <c r="D13" s="258"/>
      <c r="E13" s="258"/>
      <c r="F13" s="258"/>
      <c r="G13" s="258"/>
      <c r="H13" s="258"/>
      <c r="I13" s="258"/>
      <c r="J13" s="258"/>
      <c r="K13" s="258"/>
      <c r="L13" s="11">
        <f>'Functional Dimension'!E13</f>
        <v>0.99999999999999989</v>
      </c>
      <c r="M13" s="11"/>
      <c r="N13" s="11">
        <f>'Functional Dimension'!H13</f>
        <v>0.99999999999999989</v>
      </c>
      <c r="O13" s="11"/>
      <c r="P13" s="11">
        <f>'Functional Dimension'!K13</f>
        <v>0.99999999999999989</v>
      </c>
      <c r="Q13" s="12"/>
      <c r="R13" s="11">
        <f>'Functional Dimension'!N13</f>
        <v>0.99999999999999989</v>
      </c>
      <c r="S13" s="11"/>
      <c r="T13" s="13" t="s">
        <v>25</v>
      </c>
    </row>
    <row r="14" spans="1:20" ht="69.75" customHeight="1">
      <c r="A14" s="259" t="e">
        <f>IF('Functional Dimension'!#REF!=0,"",'Functional Dimension'!#REF!)</f>
        <v>#REF!</v>
      </c>
      <c r="B14" s="260"/>
      <c r="C14" s="260"/>
      <c r="D14" s="260"/>
      <c r="E14" s="260"/>
      <c r="F14" s="260"/>
      <c r="G14" s="260" t="e">
        <f>IF('Functional Dimension'!#REF!=0,"",'Functional Dimension'!#REF!)</f>
        <v>#REF!</v>
      </c>
      <c r="H14" s="260"/>
      <c r="I14" s="260"/>
      <c r="J14" s="260"/>
      <c r="K14" s="260"/>
      <c r="L14" s="20" t="e">
        <f>'Functional Dimension'!#REF!</f>
        <v>#REF!</v>
      </c>
      <c r="M14" s="21" t="e">
        <f>'Functional Dimension'!#REF!</f>
        <v>#REF!</v>
      </c>
      <c r="N14" s="20" t="e">
        <f>'Functional Dimension'!#REF!</f>
        <v>#REF!</v>
      </c>
      <c r="O14" s="21" t="e">
        <f>'Functional Dimension'!#REF!</f>
        <v>#REF!</v>
      </c>
      <c r="P14" s="20" t="e">
        <f>'Functional Dimension'!#REF!</f>
        <v>#REF!</v>
      </c>
      <c r="Q14" s="21" t="e">
        <f>'Functional Dimension'!#REF!</f>
        <v>#REF!</v>
      </c>
      <c r="R14" s="20" t="e">
        <f>'Functional Dimension'!#REF!</f>
        <v>#REF!</v>
      </c>
      <c r="S14" s="21" t="e">
        <f>'Functional Dimension'!#REF!</f>
        <v>#REF!</v>
      </c>
      <c r="T14" s="22"/>
    </row>
    <row r="15" spans="1:20" ht="82.5" customHeight="1">
      <c r="A15" s="259" t="e">
        <f>IF('Functional Dimension'!#REF!=0,"",'Functional Dimension'!#REF!)</f>
        <v>#REF!</v>
      </c>
      <c r="B15" s="260"/>
      <c r="C15" s="260"/>
      <c r="D15" s="260"/>
      <c r="E15" s="260"/>
      <c r="F15" s="260"/>
      <c r="G15" s="260" t="e">
        <f>IF('Functional Dimension'!#REF!=0,"",'Functional Dimension'!#REF!)</f>
        <v>#REF!</v>
      </c>
      <c r="H15" s="260"/>
      <c r="I15" s="260"/>
      <c r="J15" s="260"/>
      <c r="K15" s="260"/>
      <c r="L15" s="20" t="e">
        <f>'Functional Dimension'!#REF!</f>
        <v>#REF!</v>
      </c>
      <c r="M15" s="21" t="e">
        <f>'Functional Dimension'!#REF!</f>
        <v>#REF!</v>
      </c>
      <c r="N15" s="20" t="e">
        <f>'Functional Dimension'!#REF!</f>
        <v>#REF!</v>
      </c>
      <c r="O15" s="21" t="e">
        <f>'Functional Dimension'!#REF!</f>
        <v>#REF!</v>
      </c>
      <c r="P15" s="20" t="e">
        <f>'Functional Dimension'!#REF!</f>
        <v>#REF!</v>
      </c>
      <c r="Q15" s="21" t="e">
        <f>'Functional Dimension'!#REF!</f>
        <v>#REF!</v>
      </c>
      <c r="R15" s="20" t="e">
        <f>'Functional Dimension'!#REF!</f>
        <v>#REF!</v>
      </c>
      <c r="S15" s="21" t="e">
        <f>'Functional Dimension'!#REF!</f>
        <v>#REF!</v>
      </c>
      <c r="T15" s="22"/>
    </row>
    <row r="16" spans="1:20" ht="69.75" customHeight="1">
      <c r="A16" s="259" t="e">
        <f>IF('Functional Dimension'!#REF!=0,"",'Functional Dimension'!#REF!)</f>
        <v>#REF!</v>
      </c>
      <c r="B16" s="260"/>
      <c r="C16" s="260"/>
      <c r="D16" s="260"/>
      <c r="E16" s="260"/>
      <c r="F16" s="260"/>
      <c r="G16" s="260" t="e">
        <f>IF('Functional Dimension'!#REF!=0,"",'Functional Dimension'!#REF!)</f>
        <v>#REF!</v>
      </c>
      <c r="H16" s="260"/>
      <c r="I16" s="260"/>
      <c r="J16" s="260"/>
      <c r="K16" s="260"/>
      <c r="L16" s="20" t="e">
        <f>'Functional Dimension'!#REF!</f>
        <v>#REF!</v>
      </c>
      <c r="M16" s="21" t="e">
        <f>'Functional Dimension'!#REF!</f>
        <v>#REF!</v>
      </c>
      <c r="N16" s="20">
        <f>'Functional Dimension'!H14</f>
        <v>0</v>
      </c>
      <c r="O16" s="21">
        <f>'Functional Dimension'!I14</f>
        <v>0</v>
      </c>
      <c r="P16" s="20">
        <f>'Functional Dimension'!K14</f>
        <v>0</v>
      </c>
      <c r="Q16" s="21">
        <f>'Functional Dimension'!L14</f>
        <v>0</v>
      </c>
      <c r="R16" s="20">
        <f>'Functional Dimension'!N14</f>
        <v>0</v>
      </c>
      <c r="S16" s="21">
        <f>'Functional Dimension'!O14</f>
        <v>0</v>
      </c>
      <c r="T16" s="22"/>
    </row>
    <row r="17" spans="1:20" ht="69.75" customHeight="1">
      <c r="A17" s="259" t="e">
        <f>IF('Functional Dimension'!#REF!=0,"",'Functional Dimension'!#REF!)</f>
        <v>#REF!</v>
      </c>
      <c r="B17" s="260"/>
      <c r="C17" s="260"/>
      <c r="D17" s="260"/>
      <c r="E17" s="260"/>
      <c r="F17" s="260"/>
      <c r="G17" s="260" t="str">
        <f>IF('Functional Dimension'!C15=0,"",'Functional Dimension'!C15)</f>
        <v>100% Ontime as per schedule</v>
      </c>
      <c r="H17" s="260"/>
      <c r="I17" s="260"/>
      <c r="J17" s="260"/>
      <c r="K17" s="260"/>
      <c r="L17" s="20" t="e">
        <f>'Functional Dimension'!#REF!</f>
        <v>#REF!</v>
      </c>
      <c r="M17" s="21" t="e">
        <f>'Functional Dimension'!#REF!</f>
        <v>#REF!</v>
      </c>
      <c r="N17" s="20">
        <f>'Functional Dimension'!H15</f>
        <v>0.3</v>
      </c>
      <c r="O17" s="21">
        <f>'Functional Dimension'!I15</f>
        <v>3.5</v>
      </c>
      <c r="P17" s="20">
        <f>'Functional Dimension'!K15</f>
        <v>0.3</v>
      </c>
      <c r="Q17" s="21">
        <f>'Functional Dimension'!L15</f>
        <v>3.5</v>
      </c>
      <c r="R17" s="20">
        <f>'Functional Dimension'!N15</f>
        <v>0.3</v>
      </c>
      <c r="S17" s="21">
        <f>'Functional Dimension'!O15</f>
        <v>3.5</v>
      </c>
      <c r="T17" s="22"/>
    </row>
    <row r="18" spans="1:20" ht="69.75" customHeight="1">
      <c r="A18" s="259" t="str">
        <f>IF('Functional Dimension'!B16=0,"",'Functional Dimension'!B16)</f>
        <v>Dispatch documentation</v>
      </c>
      <c r="B18" s="260"/>
      <c r="C18" s="260"/>
      <c r="D18" s="260"/>
      <c r="E18" s="260"/>
      <c r="F18" s="260"/>
      <c r="G18" s="260" t="str">
        <f>IF('Functional Dimension'!C16=0,"",'Functional Dimension'!C16)</f>
        <v>100% Accurate - No Rework</v>
      </c>
      <c r="H18" s="260"/>
      <c r="I18" s="260"/>
      <c r="J18" s="260"/>
      <c r="K18" s="260"/>
      <c r="L18" s="20" t="e">
        <f>'Functional Dimension'!#REF!</f>
        <v>#REF!</v>
      </c>
      <c r="M18" s="21" t="e">
        <f>'Functional Dimension'!#REF!</f>
        <v>#REF!</v>
      </c>
      <c r="N18" s="20">
        <f>'Functional Dimension'!H16</f>
        <v>0.3</v>
      </c>
      <c r="O18" s="21">
        <f>'Functional Dimension'!I16</f>
        <v>2.5</v>
      </c>
      <c r="P18" s="20">
        <f>'Functional Dimension'!K16</f>
        <v>0.3</v>
      </c>
      <c r="Q18" s="21">
        <f>'Functional Dimension'!L16</f>
        <v>3</v>
      </c>
      <c r="R18" s="20">
        <f>'Functional Dimension'!N16</f>
        <v>0.3</v>
      </c>
      <c r="S18" s="21">
        <f>'Functional Dimension'!O16</f>
        <v>2.5</v>
      </c>
      <c r="T18" s="22"/>
    </row>
    <row r="19" spans="1:20" ht="69.75" customHeight="1">
      <c r="A19" s="259" t="e">
        <f>IF('Functional Dimension'!#REF!=0,"",'Functional Dimension'!#REF!)</f>
        <v>#REF!</v>
      </c>
      <c r="B19" s="260"/>
      <c r="C19" s="260"/>
      <c r="D19" s="260"/>
      <c r="E19" s="260"/>
      <c r="F19" s="260"/>
      <c r="G19" s="260" t="e">
        <f>IF('Functional Dimension'!#REF!=0,"",'Functional Dimension'!#REF!)</f>
        <v>#REF!</v>
      </c>
      <c r="H19" s="260"/>
      <c r="I19" s="260"/>
      <c r="J19" s="260"/>
      <c r="K19" s="260"/>
      <c r="L19" s="20" t="e">
        <f>'Functional Dimension'!#REF!</f>
        <v>#REF!</v>
      </c>
      <c r="M19" s="21" t="e">
        <f>'Functional Dimension'!#REF!</f>
        <v>#REF!</v>
      </c>
      <c r="N19" s="20">
        <f>'Functional Dimension'!H17</f>
        <v>0.1</v>
      </c>
      <c r="O19" s="21">
        <f>'Functional Dimension'!I17</f>
        <v>3</v>
      </c>
      <c r="P19" s="20">
        <f>'Functional Dimension'!K17</f>
        <v>0.1</v>
      </c>
      <c r="Q19" s="21">
        <f>'Functional Dimension'!L17</f>
        <v>3.5</v>
      </c>
      <c r="R19" s="20">
        <f>'Functional Dimension'!N17</f>
        <v>0.1</v>
      </c>
      <c r="S19" s="21">
        <f>'Functional Dimension'!O17</f>
        <v>3</v>
      </c>
      <c r="T19" s="22"/>
    </row>
    <row r="20" spans="1:20" ht="96.75" customHeight="1">
      <c r="A20" s="259" t="e">
        <f>IF('Functional Dimension'!#REF!=0,"",'Functional Dimension'!#REF!)</f>
        <v>#REF!</v>
      </c>
      <c r="B20" s="260"/>
      <c r="C20" s="260"/>
      <c r="D20" s="260"/>
      <c r="E20" s="260"/>
      <c r="F20" s="260"/>
      <c r="G20" s="260" t="e">
        <f>IF('Functional Dimension'!#REF!=0,"",'Functional Dimension'!#REF!)</f>
        <v>#REF!</v>
      </c>
      <c r="H20" s="260"/>
      <c r="I20" s="260"/>
      <c r="J20" s="260"/>
      <c r="K20" s="260"/>
      <c r="L20" s="20" t="e">
        <f>'Functional Dimension'!#REF!</f>
        <v>#REF!</v>
      </c>
      <c r="M20" s="21" t="e">
        <f>'Functional Dimension'!#REF!</f>
        <v>#REF!</v>
      </c>
      <c r="N20" s="20">
        <f>'Functional Dimension'!H18</f>
        <v>0.1</v>
      </c>
      <c r="O20" s="21">
        <f>'Functional Dimension'!I18</f>
        <v>4</v>
      </c>
      <c r="P20" s="20">
        <f>'Functional Dimension'!K18</f>
        <v>0.1</v>
      </c>
      <c r="Q20" s="21">
        <f>'Functional Dimension'!L18</f>
        <v>4</v>
      </c>
      <c r="R20" s="20">
        <f>'Functional Dimension'!N18</f>
        <v>0.1</v>
      </c>
      <c r="S20" s="21">
        <f>'Functional Dimension'!O18</f>
        <v>4</v>
      </c>
      <c r="T20" s="22"/>
    </row>
    <row r="21" spans="1:20" ht="97.5" customHeight="1">
      <c r="A21" s="259" t="str">
        <f>IF('Functional Dimension'!B14=0,"",'Functional Dimension'!B14)</f>
        <v/>
      </c>
      <c r="B21" s="260"/>
      <c r="C21" s="260"/>
      <c r="D21" s="260"/>
      <c r="E21" s="260"/>
      <c r="F21" s="260"/>
      <c r="G21" s="260" t="str">
        <f>IF('Functional Dimension'!C14=0,"",'Functional Dimension'!C14)</f>
        <v/>
      </c>
      <c r="H21" s="260"/>
      <c r="I21" s="260"/>
      <c r="J21" s="260"/>
      <c r="K21" s="260"/>
      <c r="L21" s="20">
        <f>'Functional Dimension'!E14</f>
        <v>0</v>
      </c>
      <c r="M21" s="21">
        <f>'Functional Dimension'!F14</f>
        <v>0</v>
      </c>
      <c r="N21" s="20">
        <f>'Functional Dimension'!H19</f>
        <v>0.1</v>
      </c>
      <c r="O21" s="21">
        <f>'Functional Dimension'!I19</f>
        <v>4</v>
      </c>
      <c r="P21" s="20">
        <f>'Functional Dimension'!K19</f>
        <v>0.1</v>
      </c>
      <c r="Q21" s="21">
        <f>'Functional Dimension'!L19</f>
        <v>4</v>
      </c>
      <c r="R21" s="20">
        <f>'Functional Dimension'!N19</f>
        <v>0.1</v>
      </c>
      <c r="S21" s="21">
        <f>'Functional Dimension'!O19</f>
        <v>4</v>
      </c>
      <c r="T21" s="22"/>
    </row>
    <row r="22" spans="1:20" ht="102" customHeight="1">
      <c r="A22" s="259" t="str">
        <f>IF('Functional Dimension'!B41=0,"",'Functional Dimension'!B41)</f>
        <v/>
      </c>
      <c r="B22" s="260"/>
      <c r="C22" s="260"/>
      <c r="D22" s="260"/>
      <c r="E22" s="260"/>
      <c r="F22" s="260"/>
      <c r="G22" s="260" t="str">
        <f>IF('Functional Dimension'!C41=0,"",'Functional Dimension'!C41)</f>
        <v/>
      </c>
      <c r="H22" s="260"/>
      <c r="I22" s="260"/>
      <c r="J22" s="260"/>
      <c r="K22" s="260"/>
      <c r="L22" s="20">
        <f>'Functional Dimension'!E41</f>
        <v>0</v>
      </c>
      <c r="M22" s="21">
        <f>'Functional Dimension'!F41</f>
        <v>0</v>
      </c>
      <c r="N22" s="20">
        <f>'Functional Dimension'!H41</f>
        <v>0</v>
      </c>
      <c r="O22" s="21">
        <f>'Functional Dimension'!I41</f>
        <v>0</v>
      </c>
      <c r="P22" s="20">
        <f>'Functional Dimension'!K41</f>
        <v>0</v>
      </c>
      <c r="Q22" s="21">
        <f>'Functional Dimension'!L41</f>
        <v>0</v>
      </c>
      <c r="R22" s="20">
        <f>'Functional Dimension'!N41</f>
        <v>0</v>
      </c>
      <c r="S22" s="21">
        <f>'Functional Dimension'!O41</f>
        <v>0</v>
      </c>
      <c r="T22" s="22"/>
    </row>
    <row r="23" spans="1:20" ht="69.75" customHeight="1">
      <c r="A23" s="259" t="e">
        <f>IF('Functional Dimension'!#REF!=0,"",'Functional Dimension'!#REF!)</f>
        <v>#REF!</v>
      </c>
      <c r="B23" s="260"/>
      <c r="C23" s="260"/>
      <c r="D23" s="260"/>
      <c r="E23" s="260"/>
      <c r="F23" s="260"/>
      <c r="G23" s="260" t="e">
        <f>IF('Functional Dimension'!#REF!=0,"",'Functional Dimension'!#REF!)</f>
        <v>#REF!</v>
      </c>
      <c r="H23" s="260"/>
      <c r="I23" s="260"/>
      <c r="J23" s="260"/>
      <c r="K23" s="260"/>
      <c r="L23" s="20" t="e">
        <f>'Functional Dimension'!#REF!</f>
        <v>#REF!</v>
      </c>
      <c r="M23" s="21" t="e">
        <f>'Functional Dimension'!#REF!</f>
        <v>#REF!</v>
      </c>
      <c r="N23" s="20" t="e">
        <f>'Functional Dimension'!#REF!</f>
        <v>#REF!</v>
      </c>
      <c r="O23" s="21" t="e">
        <f>'Functional Dimension'!#REF!</f>
        <v>#REF!</v>
      </c>
      <c r="P23" s="20" t="e">
        <f>'Functional Dimension'!#REF!</f>
        <v>#REF!</v>
      </c>
      <c r="Q23" s="21" t="e">
        <f>'Functional Dimension'!#REF!</f>
        <v>#REF!</v>
      </c>
      <c r="R23" s="20" t="e">
        <f>'Functional Dimension'!#REF!</f>
        <v>#REF!</v>
      </c>
      <c r="S23" s="21" t="e">
        <f>'Functional Dimension'!#REF!</f>
        <v>#REF!</v>
      </c>
      <c r="T23" s="22"/>
    </row>
    <row r="24" spans="1:20" ht="69.75" customHeight="1">
      <c r="A24" s="257" t="e">
        <f>IF('Functional Dimension'!#REF!=0,"",'Functional Dimension'!#REF!)</f>
        <v>#REF!</v>
      </c>
      <c r="B24" s="258"/>
      <c r="C24" s="258"/>
      <c r="D24" s="258"/>
      <c r="E24" s="258"/>
      <c r="F24" s="258"/>
      <c r="G24" s="258" t="e">
        <f>IF('Functional Dimension'!#REF!=0,"",'Functional Dimension'!#REF!)</f>
        <v>#REF!</v>
      </c>
      <c r="H24" s="258"/>
      <c r="I24" s="258"/>
      <c r="J24" s="258"/>
      <c r="K24" s="258"/>
      <c r="L24" s="20" t="e">
        <f>'Functional Dimension'!#REF!</f>
        <v>#REF!</v>
      </c>
      <c r="M24" s="21" t="e">
        <f>'Functional Dimension'!#REF!</f>
        <v>#REF!</v>
      </c>
      <c r="N24" s="20" t="e">
        <f>'Functional Dimension'!#REF!</f>
        <v>#REF!</v>
      </c>
      <c r="O24" s="21" t="e">
        <f>'Functional Dimension'!#REF!</f>
        <v>#REF!</v>
      </c>
      <c r="P24" s="20" t="e">
        <f>'Functional Dimension'!#REF!</f>
        <v>#REF!</v>
      </c>
      <c r="Q24" s="21" t="e">
        <f>'Functional Dimension'!#REF!</f>
        <v>#REF!</v>
      </c>
      <c r="R24" s="20" t="e">
        <f>'Functional Dimension'!#REF!</f>
        <v>#REF!</v>
      </c>
      <c r="S24" s="21" t="e">
        <f>'Functional Dimension'!#REF!</f>
        <v>#REF!</v>
      </c>
      <c r="T24" s="22"/>
    </row>
    <row r="25" spans="1:20" ht="31.5" customHeight="1" thickBot="1">
      <c r="A25" s="1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6"/>
      <c r="M25" s="17">
        <f>'Functional Dimension'!F42</f>
        <v>3.0999999999999996</v>
      </c>
      <c r="N25" s="16"/>
      <c r="O25" s="17">
        <f>'Functional Dimension'!I42</f>
        <v>3.15</v>
      </c>
      <c r="P25" s="16"/>
      <c r="Q25" s="17">
        <f>'Functional Dimension'!L42</f>
        <v>3.3749999999999996</v>
      </c>
      <c r="R25" s="16"/>
      <c r="S25" s="17">
        <f>'Functional Dimension'!O42</f>
        <v>3.1749999999999998</v>
      </c>
      <c r="T25" s="18">
        <f>AVERAGE(O25,Q25,S25)</f>
        <v>3.2333333333333329</v>
      </c>
    </row>
    <row r="26" spans="1:20" ht="31.5" hidden="1" customHeight="1">
      <c r="L26" s="1"/>
      <c r="M26" s="2">
        <f>IF(M25=0,"",M25)</f>
        <v>3.0999999999999996</v>
      </c>
      <c r="N26" s="5"/>
      <c r="O26" s="6">
        <f>'Functional Dimension'!I43</f>
        <v>3.15</v>
      </c>
      <c r="P26" s="7"/>
      <c r="Q26" s="6">
        <f>'Functional Dimension'!L43</f>
        <v>3.3749999999999996</v>
      </c>
      <c r="R26" s="8"/>
      <c r="S26" s="6">
        <f>'Functional Dimension'!O43</f>
        <v>3.1749999999999998</v>
      </c>
      <c r="T26" s="1"/>
    </row>
    <row r="27" spans="1:20" ht="15.75" thickBot="1">
      <c r="A27" s="4" t="s">
        <v>48</v>
      </c>
    </row>
    <row r="28" spans="1:20">
      <c r="A28" s="252" t="s">
        <v>20</v>
      </c>
      <c r="B28" s="250"/>
      <c r="C28" s="250"/>
      <c r="D28" s="250"/>
      <c r="E28" s="250"/>
      <c r="F28" s="250"/>
      <c r="G28" s="250"/>
      <c r="H28" s="250"/>
      <c r="I28" s="250"/>
      <c r="J28" s="250"/>
      <c r="K28" s="250"/>
      <c r="L28" s="250"/>
      <c r="M28" s="250"/>
      <c r="N28" s="250"/>
      <c r="O28" s="250"/>
      <c r="P28" s="9" t="s">
        <v>26</v>
      </c>
      <c r="Q28" s="9" t="s">
        <v>15</v>
      </c>
      <c r="R28" s="9" t="s">
        <v>16</v>
      </c>
      <c r="S28" s="9" t="s">
        <v>17</v>
      </c>
      <c r="T28" s="10" t="s">
        <v>45</v>
      </c>
    </row>
    <row r="29" spans="1:20">
      <c r="A29" s="257"/>
      <c r="B29" s="258"/>
      <c r="C29" s="258"/>
      <c r="D29" s="258"/>
      <c r="E29" s="258"/>
      <c r="F29" s="258"/>
      <c r="G29" s="258"/>
      <c r="H29" s="258"/>
      <c r="I29" s="258"/>
      <c r="J29" s="258"/>
      <c r="K29" s="258"/>
      <c r="L29" s="258"/>
      <c r="M29" s="258"/>
      <c r="N29" s="258"/>
      <c r="O29" s="258"/>
      <c r="P29" s="19"/>
      <c r="Q29" s="19"/>
      <c r="R29" s="19"/>
      <c r="S29" s="19"/>
      <c r="T29" s="13" t="s">
        <v>25</v>
      </c>
    </row>
    <row r="30" spans="1:20" ht="57" customHeight="1">
      <c r="A30" s="257" t="str">
        <f>IF('Organizational Dimension'!B4=0,"",'Organizational Dimension'!B4)</f>
        <v>Team work</v>
      </c>
      <c r="B30" s="258"/>
      <c r="C30" s="258"/>
      <c r="D30" s="258"/>
      <c r="E30" s="258"/>
      <c r="F30" s="258"/>
      <c r="G30" s="258"/>
      <c r="H30" s="258"/>
      <c r="I30" s="258"/>
      <c r="J30" s="258"/>
      <c r="K30" s="258"/>
      <c r="L30" s="258"/>
      <c r="M30" s="258"/>
      <c r="N30" s="258"/>
      <c r="O30" s="258"/>
      <c r="P30" s="3" t="e">
        <f>'Organizational Dimension'!#REF!</f>
        <v>#REF!</v>
      </c>
      <c r="Q30" s="3">
        <f>'Organizational Dimension'!I4</f>
        <v>3</v>
      </c>
      <c r="R30" s="3">
        <f>'Organizational Dimension'!M4</f>
        <v>2.5</v>
      </c>
      <c r="S30" s="3">
        <f>'Organizational Dimension'!Q4</f>
        <v>2.5</v>
      </c>
      <c r="T30" s="23">
        <f>'Organizational Dimension'!Y4</f>
        <v>2.75</v>
      </c>
    </row>
    <row r="31" spans="1:20" ht="57" customHeight="1">
      <c r="A31" s="257" t="str">
        <f>IF('Organizational Dimension'!B5=0,"",'Organizational Dimension'!B5)</f>
        <v>Continuous Improvement and Up gradation</v>
      </c>
      <c r="B31" s="258"/>
      <c r="C31" s="258"/>
      <c r="D31" s="258"/>
      <c r="E31" s="258"/>
      <c r="F31" s="258"/>
      <c r="G31" s="258"/>
      <c r="H31" s="258"/>
      <c r="I31" s="258"/>
      <c r="J31" s="258"/>
      <c r="K31" s="258"/>
      <c r="L31" s="258"/>
      <c r="M31" s="258"/>
      <c r="N31" s="258"/>
      <c r="O31" s="258"/>
      <c r="P31" s="3" t="e">
        <f>'Organizational Dimension'!#REF!</f>
        <v>#REF!</v>
      </c>
      <c r="Q31" s="3">
        <f>'Organizational Dimension'!I5</f>
        <v>3</v>
      </c>
      <c r="R31" s="3">
        <f>'Organizational Dimension'!M5</f>
        <v>2.5</v>
      </c>
      <c r="S31" s="3">
        <f>'Organizational Dimension'!Q5</f>
        <v>2.5</v>
      </c>
      <c r="T31" s="23">
        <f>'Organizational Dimension'!Y5</f>
        <v>2.75</v>
      </c>
    </row>
    <row r="32" spans="1:20" ht="57" customHeight="1">
      <c r="A32" s="257" t="str">
        <f>IF('Organizational Dimension'!B6=0,"",'Organizational Dimension'!B6)</f>
        <v>Excellence in quality</v>
      </c>
      <c r="B32" s="258"/>
      <c r="C32" s="258"/>
      <c r="D32" s="258"/>
      <c r="E32" s="258"/>
      <c r="F32" s="258"/>
      <c r="G32" s="258"/>
      <c r="H32" s="258"/>
      <c r="I32" s="258"/>
      <c r="J32" s="258"/>
      <c r="K32" s="258"/>
      <c r="L32" s="258"/>
      <c r="M32" s="258"/>
      <c r="N32" s="258"/>
      <c r="O32" s="258"/>
      <c r="P32" s="3" t="e">
        <f>'Organizational Dimension'!#REF!</f>
        <v>#REF!</v>
      </c>
      <c r="Q32" s="3">
        <f>'Organizational Dimension'!I6</f>
        <v>3</v>
      </c>
      <c r="R32" s="3">
        <f>'Organizational Dimension'!M6</f>
        <v>2.5</v>
      </c>
      <c r="S32" s="3">
        <f>'Organizational Dimension'!Q6</f>
        <v>2.5</v>
      </c>
      <c r="T32" s="23">
        <f>'Organizational Dimension'!Y6</f>
        <v>2.75</v>
      </c>
    </row>
    <row r="33" spans="1:20" ht="57" customHeight="1">
      <c r="A33" s="257" t="str">
        <f>IF('Organizational Dimension'!B7=0,"",'Organizational Dimension'!B7)</f>
        <v>Service to customer above all</v>
      </c>
      <c r="B33" s="258"/>
      <c r="C33" s="258"/>
      <c r="D33" s="258"/>
      <c r="E33" s="258"/>
      <c r="F33" s="258"/>
      <c r="G33" s="258"/>
      <c r="H33" s="258"/>
      <c r="I33" s="258"/>
      <c r="J33" s="258"/>
      <c r="K33" s="258"/>
      <c r="L33" s="258"/>
      <c r="M33" s="258"/>
      <c r="N33" s="258"/>
      <c r="O33" s="258"/>
      <c r="P33" s="3" t="e">
        <f>'Organizational Dimension'!#REF!</f>
        <v>#REF!</v>
      </c>
      <c r="Q33" s="3">
        <f>'Organizational Dimension'!I7</f>
        <v>3</v>
      </c>
      <c r="R33" s="3">
        <f>'Organizational Dimension'!M7</f>
        <v>2.5</v>
      </c>
      <c r="S33" s="3">
        <f>'Organizational Dimension'!Q7</f>
        <v>2.5</v>
      </c>
      <c r="T33" s="23">
        <f>'Organizational Dimension'!Y7</f>
        <v>2.75</v>
      </c>
    </row>
    <row r="34" spans="1:20" ht="57" customHeight="1">
      <c r="A34" s="257" t="str">
        <f>IF('Organizational Dimension'!B8=0,"",'Organizational Dimension'!B8)</f>
        <v>Relationship for life</v>
      </c>
      <c r="B34" s="258"/>
      <c r="C34" s="258"/>
      <c r="D34" s="258"/>
      <c r="E34" s="258"/>
      <c r="F34" s="258"/>
      <c r="G34" s="258"/>
      <c r="H34" s="258"/>
      <c r="I34" s="258"/>
      <c r="J34" s="258"/>
      <c r="K34" s="258"/>
      <c r="L34" s="258"/>
      <c r="M34" s="258"/>
      <c r="N34" s="258"/>
      <c r="O34" s="258"/>
      <c r="P34" s="3" t="e">
        <f>'Organizational Dimension'!#REF!</f>
        <v>#REF!</v>
      </c>
      <c r="Q34" s="3">
        <f>'Organizational Dimension'!I8</f>
        <v>2.5</v>
      </c>
      <c r="R34" s="3">
        <f>'Organizational Dimension'!M8</f>
        <v>2.5</v>
      </c>
      <c r="S34" s="3">
        <f>'Organizational Dimension'!Q8</f>
        <v>2.5</v>
      </c>
      <c r="T34" s="23">
        <f>'Organizational Dimension'!Y8</f>
        <v>2.5</v>
      </c>
    </row>
    <row r="35" spans="1:20" ht="57" customHeight="1">
      <c r="A35" s="257" t="str">
        <f>IF('Organizational Dimension'!B9=0,"",'Organizational Dimension'!B9)</f>
        <v/>
      </c>
      <c r="B35" s="258"/>
      <c r="C35" s="258"/>
      <c r="D35" s="258"/>
      <c r="E35" s="258"/>
      <c r="F35" s="258"/>
      <c r="G35" s="258"/>
      <c r="H35" s="258"/>
      <c r="I35" s="258"/>
      <c r="J35" s="258"/>
      <c r="K35" s="258"/>
      <c r="L35" s="258"/>
      <c r="M35" s="258"/>
      <c r="N35" s="258"/>
      <c r="O35" s="258"/>
      <c r="P35" s="3">
        <f>'Organizational Dimension'!E9</f>
        <v>0</v>
      </c>
      <c r="Q35" s="3">
        <f>'Organizational Dimension'!I9</f>
        <v>0</v>
      </c>
      <c r="R35" s="3">
        <f>'Organizational Dimension'!M9</f>
        <v>0</v>
      </c>
      <c r="S35" s="3">
        <f>'Organizational Dimension'!Q9</f>
        <v>0</v>
      </c>
      <c r="T35" s="23" t="e">
        <f>'Organizational Dimension'!Y9</f>
        <v>#DIV/0!</v>
      </c>
    </row>
    <row r="36" spans="1:20" ht="57" customHeight="1">
      <c r="A36" s="257" t="str">
        <f>IF('Organizational Dimension'!B10=0,"",'Organizational Dimension'!B10)</f>
        <v/>
      </c>
      <c r="B36" s="258"/>
      <c r="C36" s="258"/>
      <c r="D36" s="258"/>
      <c r="E36" s="258"/>
      <c r="F36" s="258"/>
      <c r="G36" s="258"/>
      <c r="H36" s="258"/>
      <c r="I36" s="258"/>
      <c r="J36" s="258"/>
      <c r="K36" s="258"/>
      <c r="L36" s="258"/>
      <c r="M36" s="258"/>
      <c r="N36" s="258"/>
      <c r="O36" s="258"/>
      <c r="P36" s="3">
        <f>'Organizational Dimension'!E10</f>
        <v>0</v>
      </c>
      <c r="Q36" s="3">
        <f>'Organizational Dimension'!I10</f>
        <v>0</v>
      </c>
      <c r="R36" s="3">
        <f>'Organizational Dimension'!M10</f>
        <v>0</v>
      </c>
      <c r="S36" s="3">
        <f>'Organizational Dimension'!Q10</f>
        <v>0</v>
      </c>
      <c r="T36" s="23" t="e">
        <f>'Organizational Dimension'!Y10</f>
        <v>#DIV/0!</v>
      </c>
    </row>
    <row r="37" spans="1:20" ht="57" customHeight="1">
      <c r="A37" s="257" t="str">
        <f>IF('Organizational Dimension'!B11=0,"",'Organizational Dimension'!B11)</f>
        <v/>
      </c>
      <c r="B37" s="258"/>
      <c r="C37" s="258"/>
      <c r="D37" s="258"/>
      <c r="E37" s="258"/>
      <c r="F37" s="258"/>
      <c r="G37" s="258"/>
      <c r="H37" s="258"/>
      <c r="I37" s="258"/>
      <c r="J37" s="258"/>
      <c r="K37" s="258"/>
      <c r="L37" s="258"/>
      <c r="M37" s="258"/>
      <c r="N37" s="258"/>
      <c r="O37" s="258"/>
      <c r="P37" s="3">
        <f>'Organizational Dimension'!E11</f>
        <v>0</v>
      </c>
      <c r="Q37" s="3">
        <f>'Organizational Dimension'!I11</f>
        <v>0</v>
      </c>
      <c r="R37" s="3">
        <f>'Organizational Dimension'!M11</f>
        <v>0</v>
      </c>
      <c r="S37" s="3">
        <f>'Organizational Dimension'!Q11</f>
        <v>0</v>
      </c>
      <c r="T37" s="23" t="e">
        <f>'Organizational Dimension'!Y11</f>
        <v>#DIV/0!</v>
      </c>
    </row>
    <row r="38" spans="1:20" ht="57" customHeight="1">
      <c r="A38" s="257" t="str">
        <f>IF('Organizational Dimension'!B12=0,"",'Organizational Dimension'!B12)</f>
        <v/>
      </c>
      <c r="B38" s="258"/>
      <c r="C38" s="258"/>
      <c r="D38" s="258"/>
      <c r="E38" s="258"/>
      <c r="F38" s="258"/>
      <c r="G38" s="258"/>
      <c r="H38" s="258"/>
      <c r="I38" s="258"/>
      <c r="J38" s="258"/>
      <c r="K38" s="258"/>
      <c r="L38" s="258"/>
      <c r="M38" s="258"/>
      <c r="N38" s="258"/>
      <c r="O38" s="258"/>
      <c r="P38" s="3">
        <f>'Organizational Dimension'!E12</f>
        <v>0</v>
      </c>
      <c r="Q38" s="3">
        <f>'Organizational Dimension'!I12</f>
        <v>0</v>
      </c>
      <c r="R38" s="3">
        <f>'Organizational Dimension'!M12</f>
        <v>0</v>
      </c>
      <c r="S38" s="3">
        <f>'Organizational Dimension'!Q12</f>
        <v>0</v>
      </c>
      <c r="T38" s="23" t="e">
        <f>'Organizational Dimension'!Y12</f>
        <v>#DIV/0!</v>
      </c>
    </row>
    <row r="39" spans="1:20" ht="57" customHeight="1">
      <c r="A39" s="257" t="str">
        <f>IF('Organizational Dimension'!B13=0,"",'Organizational Dimension'!B13)</f>
        <v/>
      </c>
      <c r="B39" s="258"/>
      <c r="C39" s="258"/>
      <c r="D39" s="258"/>
      <c r="E39" s="258"/>
      <c r="F39" s="258"/>
      <c r="G39" s="258"/>
      <c r="H39" s="258"/>
      <c r="I39" s="258"/>
      <c r="J39" s="258"/>
      <c r="K39" s="258"/>
      <c r="L39" s="258"/>
      <c r="M39" s="258"/>
      <c r="N39" s="258"/>
      <c r="O39" s="258"/>
      <c r="P39" s="3">
        <f>'Organizational Dimension'!E13</f>
        <v>0</v>
      </c>
      <c r="Q39" s="3">
        <f>'Organizational Dimension'!I13</f>
        <v>0</v>
      </c>
      <c r="R39" s="3">
        <f>'Organizational Dimension'!M13</f>
        <v>0</v>
      </c>
      <c r="S39" s="3">
        <f>'Organizational Dimension'!Q13</f>
        <v>0</v>
      </c>
      <c r="T39" s="23" t="e">
        <f>'Organizational Dimension'!Y13</f>
        <v>#DIV/0!</v>
      </c>
    </row>
    <row r="40" spans="1:20" ht="29.25" customHeight="1" thickBot="1">
      <c r="A40" s="14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24">
        <f>'Organizational Dimension'!E14</f>
        <v>2.9</v>
      </c>
      <c r="Q40" s="24">
        <f>'Organizational Dimension'!I14</f>
        <v>2.9</v>
      </c>
      <c r="R40" s="24">
        <f>'Organizational Dimension'!M14</f>
        <v>2.5</v>
      </c>
      <c r="S40" s="24">
        <f>'Organizational Dimension'!Q14</f>
        <v>2.5</v>
      </c>
      <c r="T40" s="25">
        <f>'Organizational Dimension'!Y14</f>
        <v>0</v>
      </c>
    </row>
    <row r="41" spans="1:20" ht="15.75" thickBot="1">
      <c r="A41" s="4" t="s">
        <v>49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P41" s="4"/>
      <c r="Q41" s="4"/>
      <c r="R41" s="4"/>
      <c r="S41" s="4"/>
      <c r="T41" s="4"/>
    </row>
    <row r="42" spans="1:20">
      <c r="A42" s="252" t="s">
        <v>37</v>
      </c>
      <c r="B42" s="250"/>
      <c r="C42" s="250"/>
      <c r="D42" s="250"/>
      <c r="E42" s="250"/>
      <c r="F42" s="250"/>
      <c r="G42" s="250"/>
      <c r="H42" s="250"/>
      <c r="I42" s="250"/>
      <c r="J42" s="250"/>
      <c r="K42" s="250"/>
      <c r="L42" s="250"/>
      <c r="M42" s="250"/>
      <c r="N42" s="250"/>
      <c r="O42" s="250"/>
      <c r="P42" s="9" t="s">
        <v>26</v>
      </c>
      <c r="Q42" s="9" t="s">
        <v>15</v>
      </c>
      <c r="R42" s="9" t="s">
        <v>16</v>
      </c>
      <c r="S42" s="9" t="s">
        <v>17</v>
      </c>
      <c r="T42" s="10" t="s">
        <v>50</v>
      </c>
    </row>
    <row r="43" spans="1:20">
      <c r="A43" s="257"/>
      <c r="B43" s="258"/>
      <c r="C43" s="258"/>
      <c r="D43" s="258"/>
      <c r="E43" s="258"/>
      <c r="F43" s="258"/>
      <c r="G43" s="258"/>
      <c r="H43" s="258"/>
      <c r="I43" s="258"/>
      <c r="J43" s="258"/>
      <c r="K43" s="258"/>
      <c r="L43" s="258"/>
      <c r="M43" s="258"/>
      <c r="N43" s="258"/>
      <c r="O43" s="258"/>
      <c r="P43" s="19"/>
      <c r="Q43" s="19"/>
      <c r="R43" s="19"/>
      <c r="S43" s="19"/>
      <c r="T43" s="13" t="s">
        <v>25</v>
      </c>
    </row>
    <row r="44" spans="1:20" ht="45" customHeight="1">
      <c r="A44" s="257" t="str">
        <f>IF('Self Development'!B4=0,"",'Self Development'!B4)</f>
        <v>Teamwork</v>
      </c>
      <c r="B44" s="258"/>
      <c r="C44" s="258"/>
      <c r="D44" s="258"/>
      <c r="E44" s="258"/>
      <c r="F44" s="258"/>
      <c r="G44" s="258"/>
      <c r="H44" s="258"/>
      <c r="I44" s="258"/>
      <c r="J44" s="258"/>
      <c r="K44" s="258"/>
      <c r="L44" s="258"/>
      <c r="M44" s="258"/>
      <c r="N44" s="258"/>
      <c r="O44" s="258"/>
      <c r="P44" s="3">
        <f>'Self Development'!D4</f>
        <v>3</v>
      </c>
      <c r="Q44" s="3">
        <f>'Self Development'!F4</f>
        <v>3</v>
      </c>
      <c r="R44" s="3">
        <f>'Self Development'!H4</f>
        <v>2</v>
      </c>
      <c r="S44" s="3">
        <f>'Self Development'!J4</f>
        <v>2.5</v>
      </c>
      <c r="T44" s="28">
        <f>'Self Development'!N4</f>
        <v>2.6875</v>
      </c>
    </row>
    <row r="45" spans="1:20" ht="45" customHeight="1">
      <c r="A45" s="257" t="str">
        <f>IF('Self Development'!B5=0,"",'Self Development'!B5)</f>
        <v>ERP</v>
      </c>
      <c r="B45" s="258"/>
      <c r="C45" s="258"/>
      <c r="D45" s="258"/>
      <c r="E45" s="258"/>
      <c r="F45" s="258"/>
      <c r="G45" s="258"/>
      <c r="H45" s="258"/>
      <c r="I45" s="258"/>
      <c r="J45" s="258"/>
      <c r="K45" s="258"/>
      <c r="L45" s="258"/>
      <c r="M45" s="258"/>
      <c r="N45" s="258"/>
      <c r="O45" s="258"/>
      <c r="P45" s="3">
        <f>'Self Development'!D5</f>
        <v>3</v>
      </c>
      <c r="Q45" s="3">
        <f>'Self Development'!F5</f>
        <v>2.5</v>
      </c>
      <c r="R45" s="3">
        <f>'Self Development'!H5</f>
        <v>2</v>
      </c>
      <c r="S45" s="3">
        <f>'Self Development'!J5</f>
        <v>2.5</v>
      </c>
      <c r="T45" s="28">
        <f>'Self Development'!N5</f>
        <v>2.5</v>
      </c>
    </row>
    <row r="46" spans="1:20" ht="45" customHeight="1">
      <c r="A46" s="257" t="str">
        <f>IF('Self Development'!B6=0,"",'Self Development'!B6)</f>
        <v>Report &amp; Reporting</v>
      </c>
      <c r="B46" s="258"/>
      <c r="C46" s="258"/>
      <c r="D46" s="258"/>
      <c r="E46" s="258"/>
      <c r="F46" s="258"/>
      <c r="G46" s="258"/>
      <c r="H46" s="258"/>
      <c r="I46" s="258"/>
      <c r="J46" s="258"/>
      <c r="K46" s="258"/>
      <c r="L46" s="258"/>
      <c r="M46" s="258"/>
      <c r="N46" s="258"/>
      <c r="O46" s="258"/>
      <c r="P46" s="3">
        <f>'Self Development'!D6</f>
        <v>3</v>
      </c>
      <c r="Q46" s="3">
        <f>'Self Development'!F6</f>
        <v>2.5</v>
      </c>
      <c r="R46" s="3">
        <f>'Self Development'!H6</f>
        <v>2</v>
      </c>
      <c r="S46" s="3">
        <f>'Self Development'!J6</f>
        <v>2</v>
      </c>
      <c r="T46" s="28">
        <f>'Self Development'!N6</f>
        <v>2.125</v>
      </c>
    </row>
    <row r="47" spans="1:20" ht="45" customHeight="1">
      <c r="A47" s="257" t="str">
        <f>IF('Self Development'!B7=0,"",'Self Development'!B7)</f>
        <v>Excel</v>
      </c>
      <c r="B47" s="258"/>
      <c r="C47" s="258"/>
      <c r="D47" s="258"/>
      <c r="E47" s="258"/>
      <c r="F47" s="258"/>
      <c r="G47" s="258"/>
      <c r="H47" s="258"/>
      <c r="I47" s="258"/>
      <c r="J47" s="258"/>
      <c r="K47" s="258"/>
      <c r="L47" s="258"/>
      <c r="M47" s="258"/>
      <c r="N47" s="258"/>
      <c r="O47" s="258"/>
      <c r="P47" s="3">
        <f>'Self Development'!D7</f>
        <v>3</v>
      </c>
      <c r="Q47" s="3">
        <f>'Self Development'!F7</f>
        <v>2</v>
      </c>
      <c r="R47" s="3">
        <f>'Self Development'!H7</f>
        <v>2</v>
      </c>
      <c r="S47" s="3">
        <f>'Self Development'!J7</f>
        <v>2</v>
      </c>
      <c r="T47" s="28">
        <f>'Self Development'!N7</f>
        <v>1.75</v>
      </c>
    </row>
    <row r="48" spans="1:20" ht="45" customHeight="1">
      <c r="A48" s="257" t="str">
        <f>IF('Self Development'!B8=0,"",'Self Development'!B8)</f>
        <v>Anger Management</v>
      </c>
      <c r="B48" s="258"/>
      <c r="C48" s="258"/>
      <c r="D48" s="258"/>
      <c r="E48" s="258"/>
      <c r="F48" s="258"/>
      <c r="G48" s="258"/>
      <c r="H48" s="258"/>
      <c r="I48" s="258"/>
      <c r="J48" s="258"/>
      <c r="K48" s="258"/>
      <c r="L48" s="258"/>
      <c r="M48" s="258"/>
      <c r="N48" s="258"/>
      <c r="O48" s="258"/>
      <c r="P48" s="3">
        <f>'Self Development'!D8</f>
        <v>3</v>
      </c>
      <c r="Q48" s="3">
        <f>'Self Development'!F8</f>
        <v>3</v>
      </c>
      <c r="R48" s="3">
        <f>'Self Development'!H8</f>
        <v>3.25</v>
      </c>
      <c r="S48" s="3">
        <f>'Self Development'!J8</f>
        <v>3.5</v>
      </c>
      <c r="T48" s="28">
        <f>'Self Development'!N8</f>
        <v>3.3125</v>
      </c>
    </row>
    <row r="49" spans="1:20" ht="45" customHeight="1">
      <c r="A49" s="257" t="str">
        <f>IF('Self Development'!B9=0,"",'Self Development'!B9)</f>
        <v/>
      </c>
      <c r="B49" s="258"/>
      <c r="C49" s="258"/>
      <c r="D49" s="258"/>
      <c r="E49" s="258"/>
      <c r="F49" s="258"/>
      <c r="G49" s="258"/>
      <c r="H49" s="258"/>
      <c r="I49" s="258"/>
      <c r="J49" s="258"/>
      <c r="K49" s="258"/>
      <c r="L49" s="258"/>
      <c r="M49" s="258"/>
      <c r="N49" s="258"/>
      <c r="O49" s="258"/>
      <c r="P49" s="3">
        <f>'Self Development'!D9</f>
        <v>0</v>
      </c>
      <c r="Q49" s="3">
        <f>'Self Development'!F9</f>
        <v>0</v>
      </c>
      <c r="R49" s="3">
        <f>'Self Development'!H9</f>
        <v>0</v>
      </c>
      <c r="S49" s="3">
        <f>'Self Development'!J9</f>
        <v>0</v>
      </c>
      <c r="T49" s="28" t="e">
        <f>'Self Development'!N9</f>
        <v>#DIV/0!</v>
      </c>
    </row>
    <row r="50" spans="1:20" ht="45" customHeight="1">
      <c r="A50" s="257" t="str">
        <f>IF('Self Development'!B10=0,"",'Self Development'!B10)</f>
        <v/>
      </c>
      <c r="B50" s="258"/>
      <c r="C50" s="258"/>
      <c r="D50" s="258"/>
      <c r="E50" s="258"/>
      <c r="F50" s="258"/>
      <c r="G50" s="258"/>
      <c r="H50" s="258"/>
      <c r="I50" s="258"/>
      <c r="J50" s="258"/>
      <c r="K50" s="258"/>
      <c r="L50" s="258"/>
      <c r="M50" s="258"/>
      <c r="N50" s="258"/>
      <c r="O50" s="258"/>
      <c r="P50" s="3">
        <f>'Self Development'!D10</f>
        <v>0</v>
      </c>
      <c r="Q50" s="3">
        <f>'Self Development'!F10</f>
        <v>0</v>
      </c>
      <c r="R50" s="3">
        <f>'Self Development'!H10</f>
        <v>0</v>
      </c>
      <c r="S50" s="3">
        <f>'Self Development'!J10</f>
        <v>0</v>
      </c>
      <c r="T50" s="28" t="e">
        <f>'Self Development'!N10</f>
        <v>#DIV/0!</v>
      </c>
    </row>
    <row r="51" spans="1:20" ht="45" customHeight="1">
      <c r="A51" s="257" t="str">
        <f>IF('Self Development'!B11=0,"",'Self Development'!B11)</f>
        <v/>
      </c>
      <c r="B51" s="258"/>
      <c r="C51" s="258"/>
      <c r="D51" s="258"/>
      <c r="E51" s="258"/>
      <c r="F51" s="258"/>
      <c r="G51" s="258"/>
      <c r="H51" s="258"/>
      <c r="I51" s="258"/>
      <c r="J51" s="258"/>
      <c r="K51" s="258"/>
      <c r="L51" s="258"/>
      <c r="M51" s="258"/>
      <c r="N51" s="258"/>
      <c r="O51" s="258"/>
      <c r="P51" s="3">
        <f>'Self Development'!D11</f>
        <v>0</v>
      </c>
      <c r="Q51" s="3">
        <f>'Self Development'!F11</f>
        <v>0</v>
      </c>
      <c r="R51" s="3">
        <f>'Self Development'!H11</f>
        <v>0</v>
      </c>
      <c r="S51" s="3">
        <f>'Self Development'!J11</f>
        <v>0</v>
      </c>
      <c r="T51" s="28" t="e">
        <f>'Self Development'!N11</f>
        <v>#DIV/0!</v>
      </c>
    </row>
    <row r="52" spans="1:20" ht="45" customHeight="1">
      <c r="A52" s="257" t="str">
        <f>IF('Self Development'!B12=0,"",'Self Development'!B12)</f>
        <v/>
      </c>
      <c r="B52" s="258"/>
      <c r="C52" s="258"/>
      <c r="D52" s="258"/>
      <c r="E52" s="258"/>
      <c r="F52" s="258"/>
      <c r="G52" s="258"/>
      <c r="H52" s="258"/>
      <c r="I52" s="258"/>
      <c r="J52" s="258"/>
      <c r="K52" s="258"/>
      <c r="L52" s="258"/>
      <c r="M52" s="258"/>
      <c r="N52" s="258"/>
      <c r="O52" s="258"/>
      <c r="P52" s="3">
        <f>'Self Development'!D12</f>
        <v>0</v>
      </c>
      <c r="Q52" s="3">
        <f>'Self Development'!F12</f>
        <v>0</v>
      </c>
      <c r="R52" s="3">
        <f>'Self Development'!H12</f>
        <v>0</v>
      </c>
      <c r="S52" s="3">
        <f>'Self Development'!J12</f>
        <v>0</v>
      </c>
      <c r="T52" s="28" t="e">
        <f>'Self Development'!N12</f>
        <v>#DIV/0!</v>
      </c>
    </row>
    <row r="53" spans="1:20" ht="45" customHeight="1" thickBot="1">
      <c r="A53" s="26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4">
        <f>'Self Development'!D13</f>
        <v>3</v>
      </c>
      <c r="Q53" s="24">
        <f>'Self Development'!F13</f>
        <v>2.6</v>
      </c>
      <c r="R53" s="24">
        <f>'Self Development'!H13</f>
        <v>2.25</v>
      </c>
      <c r="S53" s="24">
        <f>'Self Development'!J13</f>
        <v>2.5</v>
      </c>
      <c r="T53" s="29">
        <f>'Self Development'!N13</f>
        <v>0</v>
      </c>
    </row>
    <row r="55" spans="1:20" ht="15.75" thickBot="1">
      <c r="A55" s="4" t="s">
        <v>51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P55" s="4"/>
      <c r="Q55" s="4"/>
      <c r="R55" s="4"/>
      <c r="S55" s="4"/>
      <c r="T55" s="4"/>
    </row>
    <row r="56" spans="1:20">
      <c r="A56" s="282" t="s">
        <v>41</v>
      </c>
      <c r="B56" s="283"/>
      <c r="C56" s="283"/>
      <c r="D56" s="283"/>
      <c r="E56" s="283"/>
      <c r="F56" s="283"/>
      <c r="G56" s="283"/>
      <c r="H56" s="283"/>
      <c r="I56" s="283"/>
      <c r="J56" s="283"/>
      <c r="K56" s="283"/>
      <c r="L56" s="283"/>
      <c r="M56" s="283"/>
      <c r="N56" s="283"/>
      <c r="O56" s="283"/>
      <c r="P56" s="30" t="s">
        <v>26</v>
      </c>
      <c r="Q56" s="30" t="s">
        <v>15</v>
      </c>
      <c r="R56" s="30" t="s">
        <v>16</v>
      </c>
      <c r="S56" s="30" t="s">
        <v>17</v>
      </c>
      <c r="T56" s="31" t="s">
        <v>45</v>
      </c>
    </row>
    <row r="57" spans="1:20">
      <c r="A57" s="278"/>
      <c r="B57" s="279"/>
      <c r="C57" s="279"/>
      <c r="D57" s="279"/>
      <c r="E57" s="279"/>
      <c r="F57" s="279"/>
      <c r="G57" s="279"/>
      <c r="H57" s="279"/>
      <c r="I57" s="279"/>
      <c r="J57" s="279"/>
      <c r="K57" s="279"/>
      <c r="L57" s="279"/>
      <c r="M57" s="279"/>
      <c r="N57" s="279"/>
      <c r="O57" s="279"/>
      <c r="P57" s="32"/>
      <c r="Q57" s="32"/>
      <c r="R57" s="32"/>
      <c r="S57" s="32"/>
      <c r="T57" s="33" t="s">
        <v>25</v>
      </c>
    </row>
    <row r="58" spans="1:20" ht="45" customHeight="1">
      <c r="A58" s="278" t="str">
        <f>IF('Developing Others'!B4=0,"",'Developing Others'!B4)</f>
        <v/>
      </c>
      <c r="B58" s="279"/>
      <c r="C58" s="279"/>
      <c r="D58" s="279"/>
      <c r="E58" s="279"/>
      <c r="F58" s="279"/>
      <c r="G58" s="279"/>
      <c r="H58" s="279"/>
      <c r="I58" s="279"/>
      <c r="J58" s="279"/>
      <c r="K58" s="279"/>
      <c r="L58" s="279"/>
      <c r="M58" s="279"/>
      <c r="N58" s="279"/>
      <c r="O58" s="279"/>
      <c r="P58" s="3">
        <f>'Developing Others'!D4</f>
        <v>0</v>
      </c>
      <c r="Q58" s="3">
        <f>'Developing Others'!F4</f>
        <v>0</v>
      </c>
      <c r="R58" s="3">
        <f>'Developing Others'!H4</f>
        <v>0</v>
      </c>
      <c r="S58" s="3">
        <f>'Developing Others'!J4</f>
        <v>0</v>
      </c>
      <c r="T58" s="28" t="e">
        <f>'Developing Others'!N4</f>
        <v>#DIV/0!</v>
      </c>
    </row>
    <row r="59" spans="1:20" ht="45" customHeight="1">
      <c r="A59" s="278" t="str">
        <f>IF('Developing Others'!B10=0,"",'Developing Others'!B10)</f>
        <v/>
      </c>
      <c r="B59" s="279"/>
      <c r="C59" s="279"/>
      <c r="D59" s="279"/>
      <c r="E59" s="279"/>
      <c r="F59" s="279"/>
      <c r="G59" s="279"/>
      <c r="H59" s="279"/>
      <c r="I59" s="279"/>
      <c r="J59" s="279"/>
      <c r="K59" s="279"/>
      <c r="L59" s="279"/>
      <c r="M59" s="279"/>
      <c r="N59" s="279"/>
      <c r="O59" s="279"/>
      <c r="P59" s="3">
        <f>'Developing Others'!D10</f>
        <v>0</v>
      </c>
      <c r="Q59" s="3">
        <f>'Developing Others'!F10</f>
        <v>0</v>
      </c>
      <c r="R59" s="3">
        <f>'Developing Others'!H10</f>
        <v>0</v>
      </c>
      <c r="S59" s="3">
        <f>'Developing Others'!J10</f>
        <v>0</v>
      </c>
      <c r="T59" s="28" t="e">
        <f>'Developing Others'!N10</f>
        <v>#DIV/0!</v>
      </c>
    </row>
    <row r="60" spans="1:20" ht="45" customHeight="1">
      <c r="A60" s="278" t="str">
        <f>IF('Developing Others'!B11=0,"",'Developing Others'!B11)</f>
        <v/>
      </c>
      <c r="B60" s="279"/>
      <c r="C60" s="279"/>
      <c r="D60" s="279"/>
      <c r="E60" s="279"/>
      <c r="F60" s="279"/>
      <c r="G60" s="279"/>
      <c r="H60" s="279"/>
      <c r="I60" s="279"/>
      <c r="J60" s="279"/>
      <c r="K60" s="279"/>
      <c r="L60" s="279"/>
      <c r="M60" s="279"/>
      <c r="N60" s="279"/>
      <c r="O60" s="279"/>
      <c r="P60" s="3">
        <f>'Developing Others'!D11</f>
        <v>0</v>
      </c>
      <c r="Q60" s="3">
        <f>'Developing Others'!F11</f>
        <v>0</v>
      </c>
      <c r="R60" s="3">
        <f>'Developing Others'!H11</f>
        <v>0</v>
      </c>
      <c r="S60" s="3">
        <f>'Developing Others'!J11</f>
        <v>0</v>
      </c>
      <c r="T60" s="28" t="e">
        <f>'Developing Others'!N11</f>
        <v>#DIV/0!</v>
      </c>
    </row>
    <row r="61" spans="1:20" ht="45" customHeight="1">
      <c r="A61" s="278" t="str">
        <f>IF('Developing Others'!B12=0,"",'Developing Others'!B12)</f>
        <v/>
      </c>
      <c r="B61" s="279"/>
      <c r="C61" s="279"/>
      <c r="D61" s="279"/>
      <c r="E61" s="279"/>
      <c r="F61" s="279"/>
      <c r="G61" s="279"/>
      <c r="H61" s="279"/>
      <c r="I61" s="279"/>
      <c r="J61" s="279"/>
      <c r="K61" s="279"/>
      <c r="L61" s="279"/>
      <c r="M61" s="279"/>
      <c r="N61" s="279"/>
      <c r="O61" s="279"/>
      <c r="P61" s="3">
        <f>'Developing Others'!D12</f>
        <v>0</v>
      </c>
      <c r="Q61" s="3">
        <f>'Developing Others'!F12</f>
        <v>0</v>
      </c>
      <c r="R61" s="3">
        <f>'Developing Others'!H12</f>
        <v>0</v>
      </c>
      <c r="S61" s="3">
        <f>'Developing Others'!J12</f>
        <v>0</v>
      </c>
      <c r="T61" s="28" t="e">
        <f>'Developing Others'!N12</f>
        <v>#DIV/0!</v>
      </c>
    </row>
    <row r="62" spans="1:20" ht="45" customHeight="1">
      <c r="A62" s="278" t="str">
        <f>IF('Developing Others'!B13=0,"",'Developing Others'!B13)</f>
        <v/>
      </c>
      <c r="B62" s="279"/>
      <c r="C62" s="279"/>
      <c r="D62" s="279"/>
      <c r="E62" s="279"/>
      <c r="F62" s="279"/>
      <c r="G62" s="279"/>
      <c r="H62" s="279"/>
      <c r="I62" s="279"/>
      <c r="J62" s="279"/>
      <c r="K62" s="279"/>
      <c r="L62" s="279"/>
      <c r="M62" s="279"/>
      <c r="N62" s="279"/>
      <c r="O62" s="279"/>
      <c r="P62" s="3">
        <f>'Developing Others'!D13</f>
        <v>0</v>
      </c>
      <c r="Q62" s="3">
        <f>'Developing Others'!F13</f>
        <v>0</v>
      </c>
      <c r="R62" s="3">
        <f>'Developing Others'!H13</f>
        <v>0</v>
      </c>
      <c r="S62" s="3">
        <f>'Developing Others'!J13</f>
        <v>0</v>
      </c>
      <c r="T62" s="28" t="e">
        <f>'Developing Others'!N13</f>
        <v>#DIV/0!</v>
      </c>
    </row>
    <row r="63" spans="1:20" ht="45" customHeight="1">
      <c r="A63" s="278" t="str">
        <f>IF('Developing Others'!B14=0,"",'Developing Others'!B14)</f>
        <v/>
      </c>
      <c r="B63" s="279"/>
      <c r="C63" s="279"/>
      <c r="D63" s="279"/>
      <c r="E63" s="279"/>
      <c r="F63" s="279"/>
      <c r="G63" s="279"/>
      <c r="H63" s="279"/>
      <c r="I63" s="279"/>
      <c r="J63" s="279"/>
      <c r="K63" s="279"/>
      <c r="L63" s="279"/>
      <c r="M63" s="279"/>
      <c r="N63" s="279"/>
      <c r="O63" s="279"/>
      <c r="P63" s="3">
        <f>'Developing Others'!D14</f>
        <v>0</v>
      </c>
      <c r="Q63" s="3">
        <f>'Developing Others'!F14</f>
        <v>0</v>
      </c>
      <c r="R63" s="3">
        <f>'Developing Others'!H14</f>
        <v>0</v>
      </c>
      <c r="S63" s="3">
        <f>'Developing Others'!J14</f>
        <v>0</v>
      </c>
      <c r="T63" s="28" t="e">
        <f>'Developing Others'!N14</f>
        <v>#DIV/0!</v>
      </c>
    </row>
    <row r="64" spans="1:20" ht="45" customHeight="1">
      <c r="A64" s="278" t="str">
        <f>IF('Developing Others'!B15=0,"",'Developing Others'!B15)</f>
        <v/>
      </c>
      <c r="B64" s="279"/>
      <c r="C64" s="279"/>
      <c r="D64" s="279"/>
      <c r="E64" s="279"/>
      <c r="F64" s="279"/>
      <c r="G64" s="279"/>
      <c r="H64" s="279"/>
      <c r="I64" s="279"/>
      <c r="J64" s="279"/>
      <c r="K64" s="279"/>
      <c r="L64" s="279"/>
      <c r="M64" s="279"/>
      <c r="N64" s="279"/>
      <c r="O64" s="279"/>
      <c r="P64" s="3">
        <f>'Developing Others'!D15</f>
        <v>0</v>
      </c>
      <c r="Q64" s="3">
        <f>'Developing Others'!F15</f>
        <v>0</v>
      </c>
      <c r="R64" s="3">
        <f>'Developing Others'!H15</f>
        <v>0</v>
      </c>
      <c r="S64" s="3">
        <f>'Developing Others'!J15</f>
        <v>0</v>
      </c>
      <c r="T64" s="28" t="e">
        <f>'Developing Others'!N15</f>
        <v>#DIV/0!</v>
      </c>
    </row>
    <row r="65" spans="1:20" ht="45" customHeight="1">
      <c r="A65" s="278" t="str">
        <f>IF('Developing Others'!B16=0,"",'Developing Others'!B16)</f>
        <v/>
      </c>
      <c r="B65" s="279"/>
      <c r="C65" s="279"/>
      <c r="D65" s="279"/>
      <c r="E65" s="279"/>
      <c r="F65" s="279"/>
      <c r="G65" s="279"/>
      <c r="H65" s="279"/>
      <c r="I65" s="279"/>
      <c r="J65" s="279"/>
      <c r="K65" s="279"/>
      <c r="L65" s="279"/>
      <c r="M65" s="279"/>
      <c r="N65" s="279"/>
      <c r="O65" s="279"/>
      <c r="P65" s="3">
        <f>'Developing Others'!D16</f>
        <v>0</v>
      </c>
      <c r="Q65" s="3">
        <f>'Developing Others'!F16</f>
        <v>0</v>
      </c>
      <c r="R65" s="3">
        <f>'Developing Others'!H16</f>
        <v>0</v>
      </c>
      <c r="S65" s="3">
        <f>'Developing Others'!J16</f>
        <v>0</v>
      </c>
      <c r="T65" s="28" t="e">
        <f>'Developing Others'!N16</f>
        <v>#DIV/0!</v>
      </c>
    </row>
    <row r="66" spans="1:20" ht="45" customHeight="1">
      <c r="A66" s="278" t="str">
        <f>IF('Developing Others'!B17=0,"",'Developing Others'!B17)</f>
        <v/>
      </c>
      <c r="B66" s="279"/>
      <c r="C66" s="279"/>
      <c r="D66" s="279"/>
      <c r="E66" s="279"/>
      <c r="F66" s="279"/>
      <c r="G66" s="279"/>
      <c r="H66" s="279"/>
      <c r="I66" s="279"/>
      <c r="J66" s="279"/>
      <c r="K66" s="279"/>
      <c r="L66" s="279"/>
      <c r="M66" s="279"/>
      <c r="N66" s="279"/>
      <c r="O66" s="279"/>
      <c r="P66" s="3">
        <f>'Developing Others'!D17</f>
        <v>0</v>
      </c>
      <c r="Q66" s="3">
        <f>'Developing Others'!F17</f>
        <v>0</v>
      </c>
      <c r="R66" s="3">
        <f>'Developing Others'!H17</f>
        <v>0</v>
      </c>
      <c r="S66" s="3">
        <f>'Developing Others'!J17</f>
        <v>0</v>
      </c>
      <c r="T66" s="28" t="e">
        <f>'Developing Others'!N17</f>
        <v>#DIV/0!</v>
      </c>
    </row>
    <row r="67" spans="1:20" ht="45" customHeight="1" thickBot="1">
      <c r="A67" s="280"/>
      <c r="B67" s="281"/>
      <c r="C67" s="281"/>
      <c r="D67" s="281"/>
      <c r="E67" s="281"/>
      <c r="F67" s="281"/>
      <c r="G67" s="281"/>
      <c r="H67" s="281"/>
      <c r="I67" s="281"/>
      <c r="J67" s="281"/>
      <c r="K67" s="281"/>
      <c r="L67" s="281"/>
      <c r="M67" s="281"/>
      <c r="N67" s="281"/>
      <c r="O67" s="281"/>
      <c r="P67" s="24">
        <f>'Developing Others'!D18</f>
        <v>0</v>
      </c>
      <c r="Q67" s="24">
        <f>'Developing Others'!F18</f>
        <v>0</v>
      </c>
      <c r="R67" s="24">
        <f>'Developing Others'!H18</f>
        <v>0</v>
      </c>
      <c r="S67" s="24">
        <f>'Developing Others'!J18</f>
        <v>0</v>
      </c>
      <c r="T67" s="29">
        <f>'Developing Others'!N18</f>
        <v>0</v>
      </c>
    </row>
    <row r="68" spans="1:20" ht="15.75" thickBot="1"/>
    <row r="69" spans="1:20">
      <c r="A69" s="272" t="s">
        <v>52</v>
      </c>
      <c r="B69" s="273"/>
      <c r="C69" s="273"/>
      <c r="D69" s="273"/>
      <c r="E69" s="273"/>
      <c r="F69" s="273"/>
      <c r="G69" s="273"/>
      <c r="H69" s="273"/>
      <c r="I69" s="273"/>
      <c r="J69" s="273"/>
      <c r="K69" s="273"/>
      <c r="L69" s="273"/>
      <c r="M69" s="273"/>
      <c r="N69" s="273"/>
      <c r="O69" s="273"/>
      <c r="P69" s="273"/>
      <c r="Q69" s="273"/>
      <c r="R69" s="273"/>
      <c r="S69" s="273"/>
      <c r="T69" s="274"/>
    </row>
    <row r="70" spans="1:20" ht="89.25" customHeight="1">
      <c r="A70" s="275"/>
      <c r="B70" s="276"/>
      <c r="C70" s="276"/>
      <c r="D70" s="276"/>
      <c r="E70" s="276"/>
      <c r="F70" s="276"/>
      <c r="G70" s="276"/>
      <c r="H70" s="276"/>
      <c r="I70" s="276"/>
      <c r="J70" s="276"/>
      <c r="K70" s="276"/>
      <c r="L70" s="276"/>
      <c r="M70" s="276"/>
      <c r="N70" s="276"/>
      <c r="O70" s="276"/>
      <c r="P70" s="276"/>
      <c r="Q70" s="276"/>
      <c r="R70" s="276"/>
      <c r="S70" s="276"/>
      <c r="T70" s="277"/>
    </row>
    <row r="71" spans="1:20">
      <c r="A71" s="287" t="s">
        <v>22</v>
      </c>
      <c r="B71" s="288"/>
      <c r="C71" s="288"/>
      <c r="D71" s="288"/>
      <c r="E71" s="288"/>
      <c r="F71" s="288"/>
      <c r="G71" s="288"/>
      <c r="H71" s="288"/>
      <c r="I71" s="288"/>
      <c r="J71" s="288"/>
      <c r="K71" s="288"/>
      <c r="L71" s="288"/>
      <c r="M71" s="288"/>
      <c r="N71" s="288"/>
      <c r="O71" s="288"/>
      <c r="P71" s="288"/>
      <c r="Q71" s="288"/>
      <c r="R71" s="288"/>
      <c r="S71" s="288"/>
      <c r="T71" s="289"/>
    </row>
    <row r="72" spans="1:20" ht="89.25" customHeight="1">
      <c r="A72" s="275"/>
      <c r="B72" s="276"/>
      <c r="C72" s="276"/>
      <c r="D72" s="276"/>
      <c r="E72" s="276"/>
      <c r="F72" s="276"/>
      <c r="G72" s="276"/>
      <c r="H72" s="276"/>
      <c r="I72" s="276"/>
      <c r="J72" s="276"/>
      <c r="K72" s="276"/>
      <c r="L72" s="276"/>
      <c r="M72" s="276"/>
      <c r="N72" s="276"/>
      <c r="O72" s="276"/>
      <c r="P72" s="276"/>
      <c r="Q72" s="276"/>
      <c r="R72" s="276"/>
      <c r="S72" s="276"/>
      <c r="T72" s="277"/>
    </row>
    <row r="73" spans="1:20">
      <c r="A73" s="287" t="s">
        <v>23</v>
      </c>
      <c r="B73" s="288"/>
      <c r="C73" s="288"/>
      <c r="D73" s="288"/>
      <c r="E73" s="288"/>
      <c r="F73" s="288"/>
      <c r="G73" s="288"/>
      <c r="H73" s="288"/>
      <c r="I73" s="288"/>
      <c r="J73" s="288"/>
      <c r="K73" s="288"/>
      <c r="L73" s="288"/>
      <c r="M73" s="288"/>
      <c r="N73" s="288"/>
      <c r="O73" s="288"/>
      <c r="P73" s="288"/>
      <c r="Q73" s="288"/>
      <c r="R73" s="288"/>
      <c r="S73" s="288"/>
      <c r="T73" s="289"/>
    </row>
    <row r="74" spans="1:20" ht="89.25" customHeight="1">
      <c r="A74" s="275"/>
      <c r="B74" s="276"/>
      <c r="C74" s="276"/>
      <c r="D74" s="276"/>
      <c r="E74" s="276"/>
      <c r="F74" s="276"/>
      <c r="G74" s="276"/>
      <c r="H74" s="276"/>
      <c r="I74" s="276"/>
      <c r="J74" s="276"/>
      <c r="K74" s="276"/>
      <c r="L74" s="276"/>
      <c r="M74" s="276"/>
      <c r="N74" s="276"/>
      <c r="O74" s="276"/>
      <c r="P74" s="276"/>
      <c r="Q74" s="276"/>
      <c r="R74" s="276"/>
      <c r="S74" s="276"/>
      <c r="T74" s="277"/>
    </row>
    <row r="75" spans="1:20">
      <c r="A75" s="287" t="s">
        <v>24</v>
      </c>
      <c r="B75" s="288"/>
      <c r="C75" s="288"/>
      <c r="D75" s="288"/>
      <c r="E75" s="288"/>
      <c r="F75" s="288"/>
      <c r="G75" s="288"/>
      <c r="H75" s="288"/>
      <c r="I75" s="288"/>
      <c r="J75" s="288"/>
      <c r="K75" s="288"/>
      <c r="L75" s="288"/>
      <c r="M75" s="288"/>
      <c r="N75" s="288"/>
      <c r="O75" s="288"/>
      <c r="P75" s="288"/>
      <c r="Q75" s="288"/>
      <c r="R75" s="288"/>
      <c r="S75" s="288"/>
      <c r="T75" s="289"/>
    </row>
    <row r="76" spans="1:20" ht="89.25" customHeight="1" thickBot="1">
      <c r="A76" s="284"/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5"/>
      <c r="P76" s="285"/>
      <c r="Q76" s="285"/>
      <c r="R76" s="285"/>
      <c r="S76" s="285"/>
      <c r="T76" s="286"/>
    </row>
  </sheetData>
  <mergeCells count="96">
    <mergeCell ref="A76:T76"/>
    <mergeCell ref="A73:T73"/>
    <mergeCell ref="A75:T75"/>
    <mergeCell ref="A71:T71"/>
    <mergeCell ref="A3:T3"/>
    <mergeCell ref="A57:O57"/>
    <mergeCell ref="A58:O58"/>
    <mergeCell ref="A59:O59"/>
    <mergeCell ref="A60:O60"/>
    <mergeCell ref="A43:O43"/>
    <mergeCell ref="A44:O44"/>
    <mergeCell ref="A48:O48"/>
    <mergeCell ref="A49:O49"/>
    <mergeCell ref="A50:O50"/>
    <mergeCell ref="A51:O51"/>
    <mergeCell ref="A45:O45"/>
    <mergeCell ref="A2:T2"/>
    <mergeCell ref="A69:T69"/>
    <mergeCell ref="A70:T70"/>
    <mergeCell ref="A72:T72"/>
    <mergeCell ref="A74:T74"/>
    <mergeCell ref="A64:O64"/>
    <mergeCell ref="A65:O65"/>
    <mergeCell ref="A66:O66"/>
    <mergeCell ref="A67:O67"/>
    <mergeCell ref="A61:O61"/>
    <mergeCell ref="A62:O62"/>
    <mergeCell ref="A63:O63"/>
    <mergeCell ref="A20:F20"/>
    <mergeCell ref="G20:K20"/>
    <mergeCell ref="A52:O52"/>
    <mergeCell ref="A56:O56"/>
    <mergeCell ref="A1:T1"/>
    <mergeCell ref="A18:F18"/>
    <mergeCell ref="G18:K18"/>
    <mergeCell ref="A19:F19"/>
    <mergeCell ref="G19:K19"/>
    <mergeCell ref="Q4:T4"/>
    <mergeCell ref="Q5:T5"/>
    <mergeCell ref="Q6:T6"/>
    <mergeCell ref="Q7:T7"/>
    <mergeCell ref="Q8:T8"/>
    <mergeCell ref="Q9:T9"/>
    <mergeCell ref="A9:F9"/>
    <mergeCell ref="G4:K4"/>
    <mergeCell ref="G5:K5"/>
    <mergeCell ref="G6:K6"/>
    <mergeCell ref="G7:K7"/>
    <mergeCell ref="A46:O46"/>
    <mergeCell ref="A47:O47"/>
    <mergeCell ref="A34:O34"/>
    <mergeCell ref="A37:O37"/>
    <mergeCell ref="A38:O38"/>
    <mergeCell ref="A39:O39"/>
    <mergeCell ref="A28:O28"/>
    <mergeCell ref="A42:O42"/>
    <mergeCell ref="A35:O35"/>
    <mergeCell ref="A36:O36"/>
    <mergeCell ref="A29:O29"/>
    <mergeCell ref="A30:O30"/>
    <mergeCell ref="A31:O31"/>
    <mergeCell ref="A32:O32"/>
    <mergeCell ref="A33:O33"/>
    <mergeCell ref="G24:K24"/>
    <mergeCell ref="G14:K14"/>
    <mergeCell ref="G15:K15"/>
    <mergeCell ref="G16:K16"/>
    <mergeCell ref="G17:K17"/>
    <mergeCell ref="G21:K21"/>
    <mergeCell ref="G22:K22"/>
    <mergeCell ref="A12:F12"/>
    <mergeCell ref="A13:F13"/>
    <mergeCell ref="G12:K12"/>
    <mergeCell ref="G13:K13"/>
    <mergeCell ref="G23:K23"/>
    <mergeCell ref="A23:F23"/>
    <mergeCell ref="A24:F24"/>
    <mergeCell ref="A14:F14"/>
    <mergeCell ref="A15:F15"/>
    <mergeCell ref="A16:F16"/>
    <mergeCell ref="A17:F17"/>
    <mergeCell ref="A21:F21"/>
    <mergeCell ref="A22:F22"/>
    <mergeCell ref="L9:P9"/>
    <mergeCell ref="A8:F8"/>
    <mergeCell ref="L6:P6"/>
    <mergeCell ref="L7:P7"/>
    <mergeCell ref="A6:F6"/>
    <mergeCell ref="A7:F7"/>
    <mergeCell ref="G8:K8"/>
    <mergeCell ref="G9:K9"/>
    <mergeCell ref="L4:P4"/>
    <mergeCell ref="L5:P5"/>
    <mergeCell ref="A4:F4"/>
    <mergeCell ref="A5:F5"/>
    <mergeCell ref="L8:P8"/>
  </mergeCells>
  <pageMargins left="0.7" right="0.7" top="0.75" bottom="0.75" header="0.3" footer="0.3"/>
  <pageSetup scale="81" fitToHeight="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Functional Dimension</vt:lpstr>
      <vt:lpstr>Organizational Dimension</vt:lpstr>
      <vt:lpstr>Self Development</vt:lpstr>
      <vt:lpstr>Developing Others</vt:lpstr>
      <vt:lpstr>Score</vt:lpstr>
      <vt:lpstr>Score Sheet</vt:lpstr>
      <vt:lpstr>'Developing Others'!Print_Area</vt:lpstr>
      <vt:lpstr>'Functional Dimension'!Print_Area</vt:lpstr>
      <vt:lpstr>'Organizational Dimension'!Print_Area</vt:lpstr>
      <vt:lpstr>'Self Development'!Print_Area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Upasana Shah</cp:lastModifiedBy>
  <cp:lastPrinted>2025-01-15T06:15:49Z</cp:lastPrinted>
  <dcterms:created xsi:type="dcterms:W3CDTF">2015-07-04T06:26:29Z</dcterms:created>
  <dcterms:modified xsi:type="dcterms:W3CDTF">2025-04-15T13:36:57Z</dcterms:modified>
</cp:coreProperties>
</file>